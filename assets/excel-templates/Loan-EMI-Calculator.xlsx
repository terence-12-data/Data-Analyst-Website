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I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<sst xmlns="http://schemas.openxmlformats.org/spreadsheetml/2006/main" count="17" uniqueCount="17">
  <si>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Loan / EMI Calculator</t>
  </si>
  <si>
    <t xml:space="preserve">Fill in the blue cells — everything else updates automatically.</t>
  </si>
  <si>
    <t xml:space="preserve">Legend:  Blue text + yellow fill = cells you edit.  Black text = calculated automatically. Example inputs are pre-filled below — overwrite them with your own loan.</t>
  </si>
  <si>
    <t xml:space="preserve">Loan Amount</t>
  </si>
  <si>
    <t xml:space="preserve">Annual Interest Rate (%)</t>
  </si>
  <si>
    <t xml:space="preserve">Loan Tenure (Years, max 5)</t>
  </si>
  <si>
    <t xml:space="preserve">Monthly Interest Rate</t>
  </si>
  <si>
    <t xml:space="preserve">Number of Payments</t>
  </si>
  <si>
    <t xml:space="preserve">Monthly EMI</t>
  </si>
  <si>
    <t xml:space="preserve">Total Payment</t>
  </si>
  <si>
    <t xml:space="preserve">Total Interest Paid</t>
  </si>
  <si>
    <t xml:space="preserve">Amortization Schedule (first 60 months)</t>
  </si>
  <si>
    <t xml:space="preserve">Month</t>
  </si>
  <si>
    <t xml:space="preserve">Payment</t>
  </si>
  <si>
    <t xml:space="preserve">Principal</t>
  </si>
  <si>
    <t xml:space="preserve">Interest</t>
  </si>
  <si>
    <t xml:space="preserve">Balance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</si>
</sst>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0\%"/>
    <numFmt numFmtId="167" formatCode="0.0000%"/>
    <numFmt numFmtId="168" formatCode="0"/>
    <numFmt numFmtId="169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3D2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B3D2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DF3D0"/>
        <bgColor rgb="FFFFF9C4"/>
      </patternFill>
    </fill>
    <fill>
      <patternFill patternType="solid">
        <fgColor rgb="FFF2F2F2"/>
        <bgColor rgb="FFEDF6EE"/>
      </patternFill>
    </fill>
    <fill>
      <patternFill patternType="solid">
        <fgColor rgb="FFFFF9C4"/>
        <bgColor rgb="FFFDF3D0"/>
      </patternFill>
    </fill>
    <fill>
      <patternFill patternType="solid">
        <fgColor rgb="FF0B3D2E"/>
        <bgColor rgb="FF003366"/>
      </patternFill>
    </fill>
    <fill>
      <patternFill patternType="solid">
        <fgColor rgb="FFEDF6E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ED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F3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5" t="n">
        <v>500000</v>
      </c>
    </row>
    <row r="6" customFormat="false" ht="15" hidden="false" customHeight="false" outlineLevel="0" collapsed="false">
      <c r="A6" s="4" t="s">
        <v>4</v>
      </c>
      <c r="B6" s="6" t="n">
        <v>9.5</v>
      </c>
    </row>
    <row r="7" customFormat="false" ht="15" hidden="false" customHeight="false" outlineLevel="0" collapsed="false">
      <c r="A7" s="4" t="s">
        <v>5</v>
      </c>
      <c r="B7" s="7" t="n">
        <v>5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4" t="s">
        <v>6</v>
      </c>
      <c r="B9" s="9" t="n">
        <f aca="false">B6/1200</f>
        <v>0.00791666666666667</v>
      </c>
    </row>
    <row r="10" customFormat="false" ht="15" hidden="false" customHeight="false" outlineLevel="0" collapsed="false">
      <c r="A10" s="4" t="s">
        <v>7</v>
      </c>
      <c r="B10" s="10" t="n">
        <f aca="false">B7*12</f>
        <v>60</v>
      </c>
    </row>
    <row r="11" customFormat="false" ht="15" hidden="false" customHeight="false" outlineLevel="0" collapsed="false">
      <c r="A11" s="4" t="s">
        <v>8</v>
      </c>
      <c r="B11" s="11" t="n">
        <f aca="false">-PMT(B9,B10,B5)</f>
        <v>10500.9306548578</v>
      </c>
    </row>
    <row r="12" customFormat="false" ht="15" hidden="false" customHeight="false" outlineLevel="0" collapsed="false">
      <c r="A12" s="4" t="s">
        <v>9</v>
      </c>
      <c r="B12" s="12" t="n">
        <f aca="false">B11*B10</f>
        <v>630055.839291465</v>
      </c>
    </row>
    <row r="13" customFormat="false" ht="15" hidden="false" customHeight="false" outlineLevel="0" collapsed="false">
      <c r="A13" s="4" t="s">
        <v>10</v>
      </c>
      <c r="B13" s="12" t="n">
        <f aca="false">B12-B5</f>
        <v>130055.839291465</v>
      </c>
    </row>
    <row r="15" customFormat="false" ht="15" hidden="false" customHeight="false" outlineLevel="0" collapsed="false">
      <c r="A15" s="13" t="s">
        <v>11</v>
      </c>
    </row>
    <row r="16" customFormat="false" ht="21.75" hidden="false" customHeight="true" outlineLevel="0" collapsed="false">
      <c r="A16" s="14" t="s">
        <v>12</v>
      </c>
      <c r="B16" s="14" t="s">
        <v>13</v>
      </c>
      <c r="C16" s="14" t="s">
        <v>14</v>
      </c>
      <c r="D16" s="14" t="s">
        <v>15</v>
      </c>
      <c r="E16" s="14" t="s">
        <v>16</v>
      </c>
    </row>
    <row r="17" customFormat="false" ht="15" hidden="false" customHeight="false" outlineLevel="0" collapsed="false">
      <c r="A17" s="15" t="n">
        <v>1</v>
      </c>
      <c r="B17" s="12" t="n">
        <f aca="false">IF($B$10&gt;=1,-PMT($B$9,$B$10,$B$5),0)</f>
        <v>10500.9306548578</v>
      </c>
      <c r="C17" s="12" t="n">
        <f aca="false">IF($B$10&gt;=1,-PPMT($B$9,1,$B$10,$B$5),0)</f>
        <v>6542.59732152442</v>
      </c>
      <c r="D17" s="12" t="n">
        <f aca="false">IF($B$10&gt;=1,-IPMT($B$9,1,$B$10,$B$5),0)</f>
        <v>3958.33333333333</v>
      </c>
      <c r="E17" s="12" t="n">
        <f aca="false">IF($B$10&gt;=1,$B$5-C17,$B$5)</f>
        <v>493457.402678476</v>
      </c>
    </row>
    <row r="18" customFormat="false" ht="15" hidden="false" customHeight="false" outlineLevel="0" collapsed="false">
      <c r="A18" s="16" t="n">
        <v>2</v>
      </c>
      <c r="B18" s="17" t="n">
        <f aca="false">IF($B$10&gt;=2,-PMT($B$9,$B$10,$B$5),0)</f>
        <v>10500.9306548578</v>
      </c>
      <c r="C18" s="17" t="n">
        <f aca="false">IF($B$10&gt;=2,-PPMT($B$9,2,$B$10,$B$5),0)</f>
        <v>6594.39288365316</v>
      </c>
      <c r="D18" s="17" t="n">
        <f aca="false">IF($B$10&gt;=2,-IPMT($B$9,2,$B$10,$B$5),0)</f>
        <v>3906.5377712046</v>
      </c>
      <c r="E18" s="17" t="n">
        <f aca="false">IF($B$10&gt;=2,E17-C18,E17)</f>
        <v>486863.009794822</v>
      </c>
    </row>
    <row r="19" customFormat="false" ht="15" hidden="false" customHeight="false" outlineLevel="0" collapsed="false">
      <c r="A19" s="15" t="n">
        <v>3</v>
      </c>
      <c r="B19" s="12" t="n">
        <f aca="false">IF($B$10&gt;=3,-PMT($B$9,$B$10,$B$5),0)</f>
        <v>10500.9306548578</v>
      </c>
      <c r="C19" s="12" t="n">
        <f aca="false">IF($B$10&gt;=3,-PPMT($B$9,3,$B$10,$B$5),0)</f>
        <v>6646.59849398208</v>
      </c>
      <c r="D19" s="12" t="n">
        <f aca="false">IF($B$10&gt;=3,-IPMT($B$9,3,$B$10,$B$5),0)</f>
        <v>3854.33216087568</v>
      </c>
      <c r="E19" s="12" t="n">
        <f aca="false">IF($B$10&gt;=3,E18-C19,E18)</f>
        <v>480216.41130084</v>
      </c>
    </row>
    <row r="20" customFormat="false" ht="15" hidden="false" customHeight="false" outlineLevel="0" collapsed="false">
      <c r="A20" s="16" t="n">
        <v>4</v>
      </c>
      <c r="B20" s="17" t="n">
        <f aca="false">IF($B$10&gt;=4,-PMT($B$9,$B$10,$B$5),0)</f>
        <v>10500.9306548578</v>
      </c>
      <c r="C20" s="17" t="n">
        <f aca="false">IF($B$10&gt;=4,-PPMT($B$9,4,$B$10,$B$5),0)</f>
        <v>6699.2173987261</v>
      </c>
      <c r="D20" s="17" t="n">
        <f aca="false">IF($B$10&gt;=4,-IPMT($B$9,4,$B$10,$B$5),0)</f>
        <v>3801.71325613166</v>
      </c>
      <c r="E20" s="17" t="n">
        <f aca="false">IF($B$10&gt;=4,E19-C20,E19)</f>
        <v>473517.193902114</v>
      </c>
    </row>
    <row r="21" customFormat="false" ht="15" hidden="false" customHeight="false" outlineLevel="0" collapsed="false">
      <c r="A21" s="15" t="n">
        <v>5</v>
      </c>
      <c r="B21" s="12" t="n">
        <f aca="false">IF($B$10&gt;=5,-PMT($B$9,$B$10,$B$5),0)</f>
        <v>10500.9306548578</v>
      </c>
      <c r="C21" s="12" t="n">
        <f aca="false">IF($B$10&gt;=5,-PPMT($B$9,5,$B$10,$B$5),0)</f>
        <v>6752.25286979935</v>
      </c>
      <c r="D21" s="12" t="n">
        <f aca="false">IF($B$10&gt;=5,-IPMT($B$9,5,$B$10,$B$5),0)</f>
        <v>3748.67778505841</v>
      </c>
      <c r="E21" s="12" t="n">
        <f aca="false">IF($B$10&gt;=5,E20-C21,E20)</f>
        <v>466764.941032315</v>
      </c>
    </row>
    <row r="22" customFormat="false" ht="15" hidden="false" customHeight="false" outlineLevel="0" collapsed="false">
      <c r="A22" s="16" t="n">
        <v>6</v>
      </c>
      <c r="B22" s="17" t="n">
        <f aca="false">IF($B$10&gt;=6,-PMT($B$9,$B$10,$B$5),0)</f>
        <v>10500.9306548578</v>
      </c>
      <c r="C22" s="17" t="n">
        <f aca="false">IF($B$10&gt;=6,-PPMT($B$9,6,$B$10,$B$5),0)</f>
        <v>6805.70820501859</v>
      </c>
      <c r="D22" s="17" t="n">
        <f aca="false">IF($B$10&gt;=6,-IPMT($B$9,6,$B$10,$B$5),0)</f>
        <v>3695.22244983916</v>
      </c>
      <c r="E22" s="17" t="n">
        <f aca="false">IF($B$10&gt;=6,E21-C22,E21)</f>
        <v>459959.232827296</v>
      </c>
    </row>
    <row r="23" customFormat="false" ht="15" hidden="false" customHeight="false" outlineLevel="0" collapsed="false">
      <c r="A23" s="15" t="n">
        <v>7</v>
      </c>
      <c r="B23" s="12" t="n">
        <f aca="false">IF($B$10&gt;=7,-PMT($B$9,$B$10,$B$5),0)</f>
        <v>10500.9306548578</v>
      </c>
      <c r="C23" s="12" t="n">
        <f aca="false">IF($B$10&gt;=7,-PPMT($B$9,7,$B$10,$B$5),0)</f>
        <v>6859.58672830832</v>
      </c>
      <c r="D23" s="12" t="n">
        <f aca="false">IF($B$10&gt;=7,-IPMT($B$9,7,$B$10,$B$5),0)</f>
        <v>3641.34392654943</v>
      </c>
      <c r="E23" s="12" t="n">
        <f aca="false">IF($B$10&gt;=7,E22-C23,E22)</f>
        <v>453099.646098988</v>
      </c>
    </row>
    <row r="24" customFormat="false" ht="15" hidden="false" customHeight="false" outlineLevel="0" collapsed="false">
      <c r="A24" s="16" t="n">
        <v>8</v>
      </c>
      <c r="B24" s="17" t="n">
        <f aca="false">IF($B$10&gt;=8,-PMT($B$9,$B$10,$B$5),0)</f>
        <v>10500.9306548578</v>
      </c>
      <c r="C24" s="17" t="n">
        <f aca="false">IF($B$10&gt;=8,-PPMT($B$9,8,$B$10,$B$5),0)</f>
        <v>6913.89178990743</v>
      </c>
      <c r="D24" s="17" t="n">
        <f aca="false">IF($B$10&gt;=8,-IPMT($B$9,8,$B$10,$B$5),0)</f>
        <v>3587.03886495033</v>
      </c>
      <c r="E24" s="17" t="n">
        <f aca="false">IF($B$10&gt;=8,E23-C24,E23)</f>
        <v>446185.754309081</v>
      </c>
    </row>
    <row r="25" customFormat="false" ht="15" hidden="false" customHeight="false" outlineLevel="0" collapsed="false">
      <c r="A25" s="15" t="n">
        <v>9</v>
      </c>
      <c r="B25" s="12" t="n">
        <f aca="false">IF($B$10&gt;=9,-PMT($B$9,$B$10,$B$5),0)</f>
        <v>10500.9306548578</v>
      </c>
      <c r="C25" s="12" t="n">
        <f aca="false">IF($B$10&gt;=9,-PPMT($B$9,9,$B$10,$B$5),0)</f>
        <v>6968.62676657753</v>
      </c>
      <c r="D25" s="12" t="n">
        <f aca="false">IF($B$10&gt;=9,-IPMT($B$9,9,$B$10,$B$5),0)</f>
        <v>3532.30388828023</v>
      </c>
      <c r="E25" s="12" t="n">
        <f aca="false">IF($B$10&gt;=9,E24-C25,E24)</f>
        <v>439217.127542503</v>
      </c>
    </row>
    <row r="26" customFormat="false" ht="15" hidden="false" customHeight="false" outlineLevel="0" collapsed="false">
      <c r="A26" s="16" t="n">
        <v>10</v>
      </c>
      <c r="B26" s="17" t="n">
        <f aca="false">IF($B$10&gt;=10,-PMT($B$9,$B$10,$B$5),0)</f>
        <v>10500.9306548578</v>
      </c>
      <c r="C26" s="17" t="n">
        <f aca="false">IF($B$10&gt;=10,-PPMT($B$9,10,$B$10,$B$5),0)</f>
        <v>7023.79506181293</v>
      </c>
      <c r="D26" s="17" t="n">
        <f aca="false">IF($B$10&gt;=10,-IPMT($B$9,10,$B$10,$B$5),0)</f>
        <v>3477.13559304482</v>
      </c>
      <c r="E26" s="17" t="n">
        <f aca="false">IF($B$10&gt;=10,E25-C26,E25)</f>
        <v>432193.33248069</v>
      </c>
    </row>
    <row r="27" customFormat="false" ht="15" hidden="false" customHeight="false" outlineLevel="0" collapsed="false">
      <c r="A27" s="15" t="n">
        <v>11</v>
      </c>
      <c r="B27" s="12" t="n">
        <f aca="false">IF($B$10&gt;=11,-PMT($B$9,$B$10,$B$5),0)</f>
        <v>10500.9306548578</v>
      </c>
      <c r="C27" s="12" t="n">
        <f aca="false">IF($B$10&gt;=11,-PPMT($B$9,11,$B$10,$B$5),0)</f>
        <v>7079.40010605229</v>
      </c>
      <c r="D27" s="12" t="n">
        <f aca="false">IF($B$10&gt;=11,-IPMT($B$9,11,$B$10,$B$5),0)</f>
        <v>3421.53054880547</v>
      </c>
      <c r="E27" s="12" t="n">
        <f aca="false">IF($B$10&gt;=11,E26-C27,E26)</f>
        <v>425113.932374638</v>
      </c>
    </row>
    <row r="28" customFormat="false" ht="15" hidden="false" customHeight="false" outlineLevel="0" collapsed="false">
      <c r="A28" s="16" t="n">
        <v>12</v>
      </c>
      <c r="B28" s="17" t="n">
        <f aca="false">IF($B$10&gt;=12,-PMT($B$9,$B$10,$B$5),0)</f>
        <v>10500.9306548578</v>
      </c>
      <c r="C28" s="17" t="n">
        <f aca="false">IF($B$10&gt;=12,-PPMT($B$9,12,$B$10,$B$5),0)</f>
        <v>7135.44535689186</v>
      </c>
      <c r="D28" s="17" t="n">
        <f aca="false">IF($B$10&gt;=12,-IPMT($B$9,12,$B$10,$B$5),0)</f>
        <v>3365.48529796589</v>
      </c>
      <c r="E28" s="17" t="n">
        <f aca="false">IF($B$10&gt;=12,E27-C28,E27)</f>
        <v>417978.487017746</v>
      </c>
    </row>
    <row r="29" customFormat="false" ht="15" hidden="false" customHeight="false" outlineLevel="0" collapsed="false">
      <c r="A29" s="15" t="n">
        <v>13</v>
      </c>
      <c r="B29" s="12" t="n">
        <f aca="false">IF($B$10&gt;=13,-PMT($B$9,$B$10,$B$5),0)</f>
        <v>10500.9306548578</v>
      </c>
      <c r="C29" s="12" t="n">
        <f aca="false">IF($B$10&gt;=13,-PPMT($B$9,13,$B$10,$B$5),0)</f>
        <v>7191.93429930059</v>
      </c>
      <c r="D29" s="12" t="n">
        <f aca="false">IF($B$10&gt;=13,-IPMT($B$9,13,$B$10,$B$5),0)</f>
        <v>3308.99635555716</v>
      </c>
      <c r="E29" s="12" t="n">
        <f aca="false">IF($B$10&gt;=13,E28-C29,E28)</f>
        <v>410786.552718445</v>
      </c>
    </row>
    <row r="30" customFormat="false" ht="15" hidden="false" customHeight="false" outlineLevel="0" collapsed="false">
      <c r="A30" s="16" t="n">
        <v>14</v>
      </c>
      <c r="B30" s="17" t="n">
        <f aca="false">IF($B$10&gt;=14,-PMT($B$9,$B$10,$B$5),0)</f>
        <v>10500.9306548578</v>
      </c>
      <c r="C30" s="17" t="n">
        <f aca="false">IF($B$10&gt;=14,-PPMT($B$9,14,$B$10,$B$5),0)</f>
        <v>7248.87044583672</v>
      </c>
      <c r="D30" s="17" t="n">
        <f aca="false">IF($B$10&gt;=14,-IPMT($B$9,14,$B$10,$B$5),0)</f>
        <v>3252.06020902104</v>
      </c>
      <c r="E30" s="17" t="n">
        <f aca="false">IF($B$10&gt;=14,E29-C30,E29)</f>
        <v>403537.682272609</v>
      </c>
    </row>
    <row r="31" customFormat="false" ht="15" hidden="false" customHeight="false" outlineLevel="0" collapsed="false">
      <c r="A31" s="15" t="n">
        <v>15</v>
      </c>
      <c r="B31" s="12" t="n">
        <f aca="false">IF($B$10&gt;=15,-PMT($B$9,$B$10,$B$5),0)</f>
        <v>10500.9306548578</v>
      </c>
      <c r="C31" s="12" t="n">
        <f aca="false">IF($B$10&gt;=15,-PPMT($B$9,15,$B$10,$B$5),0)</f>
        <v>7306.25733686626</v>
      </c>
      <c r="D31" s="12" t="n">
        <f aca="false">IF($B$10&gt;=15,-IPMT($B$9,15,$B$10,$B$5),0)</f>
        <v>3194.67331799149</v>
      </c>
      <c r="E31" s="12" t="n">
        <f aca="false">IF($B$10&gt;=15,E30-C31,E30)</f>
        <v>396231.424935742</v>
      </c>
    </row>
    <row r="32" customFormat="false" ht="15" hidden="false" customHeight="false" outlineLevel="0" collapsed="false">
      <c r="A32" s="16" t="n">
        <v>16</v>
      </c>
      <c r="B32" s="17" t="n">
        <f aca="false">IF($B$10&gt;=16,-PMT($B$9,$B$10,$B$5),0)</f>
        <v>10500.9306548578</v>
      </c>
      <c r="C32" s="17" t="n">
        <f aca="false">IF($B$10&gt;=16,-PPMT($B$9,16,$B$10,$B$5),0)</f>
        <v>7364.09854078312</v>
      </c>
      <c r="D32" s="17" t="n">
        <f aca="false">IF($B$10&gt;=16,-IPMT($B$9,16,$B$10,$B$5),0)</f>
        <v>3136.83211407464</v>
      </c>
      <c r="E32" s="17" t="n">
        <f aca="false">IF($B$10&gt;=16,E31-C32,E31)</f>
        <v>388867.326394959</v>
      </c>
    </row>
    <row r="33" customFormat="false" ht="15" hidden="false" customHeight="false" outlineLevel="0" collapsed="false">
      <c r="A33" s="15" t="n">
        <v>17</v>
      </c>
      <c r="B33" s="12" t="n">
        <f aca="false">IF($B$10&gt;=17,-PMT($B$9,$B$10,$B$5),0)</f>
        <v>10500.9306548578</v>
      </c>
      <c r="C33" s="12" t="n">
        <f aca="false">IF($B$10&gt;=17,-PPMT($B$9,17,$B$10,$B$5),0)</f>
        <v>7422.39765423098</v>
      </c>
      <c r="D33" s="12" t="n">
        <f aca="false">IF($B$10&gt;=17,-IPMT($B$9,17,$B$10,$B$5),0)</f>
        <v>3078.53300062677</v>
      </c>
      <c r="E33" s="12" t="n">
        <f aca="false">IF($B$10&gt;=17,E32-C33,E32)</f>
        <v>381444.928740728</v>
      </c>
    </row>
    <row r="34" customFormat="false" ht="15" hidden="false" customHeight="false" outlineLevel="0" collapsed="false">
      <c r="A34" s="16" t="n">
        <v>18</v>
      </c>
      <c r="B34" s="17" t="n">
        <f aca="false">IF($B$10&gt;=18,-PMT($B$9,$B$10,$B$5),0)</f>
        <v>10500.9306548578</v>
      </c>
      <c r="C34" s="17" t="n">
        <f aca="false">IF($B$10&gt;=18,-PPMT($B$9,18,$B$10,$B$5),0)</f>
        <v>7481.15830232698</v>
      </c>
      <c r="D34" s="17" t="n">
        <f aca="false">IF($B$10&gt;=18,-IPMT($B$9,18,$B$10,$B$5),0)</f>
        <v>3019.77235253078</v>
      </c>
      <c r="E34" s="17" t="n">
        <f aca="false">IF($B$10&gt;=18,E33-C34,E33)</f>
        <v>373963.770438401</v>
      </c>
    </row>
    <row r="35" customFormat="false" ht="15" hidden="false" customHeight="false" outlineLevel="0" collapsed="false">
      <c r="A35" s="15" t="n">
        <v>19</v>
      </c>
      <c r="B35" s="12" t="n">
        <f aca="false">IF($B$10&gt;=19,-PMT($B$9,$B$10,$B$5),0)</f>
        <v>10500.9306548578</v>
      </c>
      <c r="C35" s="12" t="n">
        <f aca="false">IF($B$10&gt;=19,-PPMT($B$9,19,$B$10,$B$5),0)</f>
        <v>7540.38413888707</v>
      </c>
      <c r="D35" s="12" t="n">
        <f aca="false">IF($B$10&gt;=19,-IPMT($B$9,19,$B$10,$B$5),0)</f>
        <v>2960.54651597069</v>
      </c>
      <c r="E35" s="12" t="n">
        <f aca="false">IF($B$10&gt;=19,E34-C35,E34)</f>
        <v>366423.386299514</v>
      </c>
    </row>
    <row r="36" customFormat="false" ht="15" hidden="false" customHeight="false" outlineLevel="0" collapsed="false">
      <c r="A36" s="16" t="n">
        <v>20</v>
      </c>
      <c r="B36" s="17" t="n">
        <f aca="false">IF($B$10&gt;=20,-PMT($B$9,$B$10,$B$5),0)</f>
        <v>10500.9306548578</v>
      </c>
      <c r="C36" s="17" t="n">
        <f aca="false">IF($B$10&gt;=20,-PPMT($B$9,20,$B$10,$B$5),0)</f>
        <v>7600.07884665325</v>
      </c>
      <c r="D36" s="17" t="n">
        <f aca="false">IF($B$10&gt;=20,-IPMT($B$9,20,$B$10,$B$5),0)</f>
        <v>2900.8518082045</v>
      </c>
      <c r="E36" s="17" t="n">
        <f aca="false">IF($B$10&gt;=20,E35-C36,E35)</f>
        <v>358823.307452861</v>
      </c>
    </row>
    <row r="37" customFormat="false" ht="15" hidden="false" customHeight="false" outlineLevel="0" collapsed="false">
      <c r="A37" s="15" t="n">
        <v>21</v>
      </c>
      <c r="B37" s="12" t="n">
        <f aca="false">IF($B$10&gt;=21,-PMT($B$9,$B$10,$B$5),0)</f>
        <v>10500.9306548578</v>
      </c>
      <c r="C37" s="12" t="n">
        <f aca="false">IF($B$10&gt;=21,-PPMT($B$9,21,$B$10,$B$5),0)</f>
        <v>7660.24613752259</v>
      </c>
      <c r="D37" s="12" t="n">
        <f aca="false">IF($B$10&gt;=21,-IPMT($B$9,21,$B$10,$B$5),0)</f>
        <v>2840.68451733516</v>
      </c>
      <c r="E37" s="12" t="n">
        <f aca="false">IF($B$10&gt;=21,E36-C37,E36)</f>
        <v>351163.061315338</v>
      </c>
    </row>
    <row r="38" customFormat="false" ht="15" hidden="false" customHeight="false" outlineLevel="0" collapsed="false">
      <c r="A38" s="16" t="n">
        <v>22</v>
      </c>
      <c r="B38" s="17" t="n">
        <f aca="false">IF($B$10&gt;=22,-PMT($B$9,$B$10,$B$5),0)</f>
        <v>10500.9306548578</v>
      </c>
      <c r="C38" s="17" t="n">
        <f aca="false">IF($B$10&gt;=22,-PPMT($B$9,22,$B$10,$B$5),0)</f>
        <v>7720.88975277798</v>
      </c>
      <c r="D38" s="17" t="n">
        <f aca="false">IF($B$10&gt;=22,-IPMT($B$9,22,$B$10,$B$5),0)</f>
        <v>2780.04090207978</v>
      </c>
      <c r="E38" s="17" t="n">
        <f aca="false">IF($B$10&gt;=22,E37-C38,E37)</f>
        <v>343442.17156256</v>
      </c>
    </row>
    <row r="39" customFormat="false" ht="15" hidden="false" customHeight="false" outlineLevel="0" collapsed="false">
      <c r="A39" s="15" t="n">
        <v>23</v>
      </c>
      <c r="B39" s="12" t="n">
        <f aca="false">IF($B$10&gt;=23,-PMT($B$9,$B$10,$B$5),0)</f>
        <v>10500.9306548578</v>
      </c>
      <c r="C39" s="12" t="n">
        <f aca="false">IF($B$10&gt;=23,-PPMT($B$9,23,$B$10,$B$5),0)</f>
        <v>7782.0134633208</v>
      </c>
      <c r="D39" s="12" t="n">
        <f aca="false">IF($B$10&gt;=23,-IPMT($B$9,23,$B$10,$B$5),0)</f>
        <v>2718.91719153695</v>
      </c>
      <c r="E39" s="12" t="n">
        <f aca="false">IF($B$10&gt;=23,E38-C39,E38)</f>
        <v>335660.15809924</v>
      </c>
    </row>
    <row r="40" customFormat="false" ht="15" hidden="false" customHeight="false" outlineLevel="0" collapsed="false">
      <c r="A40" s="16" t="n">
        <v>24</v>
      </c>
      <c r="B40" s="17" t="n">
        <f aca="false">IF($B$10&gt;=24,-PMT($B$9,$B$10,$B$5),0)</f>
        <v>10500.9306548578</v>
      </c>
      <c r="C40" s="17" t="n">
        <f aca="false">IF($B$10&gt;=24,-PPMT($B$9,24,$B$10,$B$5),0)</f>
        <v>7843.62106990543</v>
      </c>
      <c r="D40" s="17" t="n">
        <f aca="false">IF($B$10&gt;=24,-IPMT($B$9,24,$B$10,$B$5),0)</f>
        <v>2657.30958495233</v>
      </c>
      <c r="E40" s="17" t="n">
        <f aca="false">IF($B$10&gt;=24,E39-C40,E39)</f>
        <v>327816.537029334</v>
      </c>
    </row>
    <row r="41" customFormat="false" ht="15" hidden="false" customHeight="false" outlineLevel="0" collapsed="false">
      <c r="A41" s="15" t="n">
        <v>25</v>
      </c>
      <c r="B41" s="12" t="n">
        <f aca="false">IF($B$10&gt;=25,-PMT($B$9,$B$10,$B$5),0)</f>
        <v>10500.9306548578</v>
      </c>
      <c r="C41" s="12" t="n">
        <f aca="false">IF($B$10&gt;=25,-PPMT($B$9,25,$B$10,$B$5),0)</f>
        <v>7905.71640337551</v>
      </c>
      <c r="D41" s="12" t="n">
        <f aca="false">IF($B$10&gt;=25,-IPMT($B$9,25,$B$10,$B$5),0)</f>
        <v>2595.21425148225</v>
      </c>
      <c r="E41" s="12" t="n">
        <f aca="false">IF($B$10&gt;=25,E40-C41,E40)</f>
        <v>319910.820625959</v>
      </c>
    </row>
    <row r="42" customFormat="false" ht="15" hidden="false" customHeight="false" outlineLevel="0" collapsed="false">
      <c r="A42" s="16" t="n">
        <v>26</v>
      </c>
      <c r="B42" s="17" t="n">
        <f aca="false">IF($B$10&gt;=26,-PMT($B$9,$B$10,$B$5),0)</f>
        <v>10500.9306548578</v>
      </c>
      <c r="C42" s="17" t="n">
        <f aca="false">IF($B$10&gt;=26,-PPMT($B$9,26,$B$10,$B$5),0)</f>
        <v>7968.30332490223</v>
      </c>
      <c r="D42" s="17" t="n">
        <f aca="false">IF($B$10&gt;=26,-IPMT($B$9,26,$B$10,$B$5),0)</f>
        <v>2532.62732995552</v>
      </c>
      <c r="E42" s="17" t="n">
        <f aca="false">IF($B$10&gt;=26,E41-C42,E41)</f>
        <v>311942.517301057</v>
      </c>
    </row>
    <row r="43" customFormat="false" ht="15" hidden="false" customHeight="false" outlineLevel="0" collapsed="false">
      <c r="A43" s="15" t="n">
        <v>27</v>
      </c>
      <c r="B43" s="12" t="n">
        <f aca="false">IF($B$10&gt;=27,-PMT($B$9,$B$10,$B$5),0)</f>
        <v>10500.9306548578</v>
      </c>
      <c r="C43" s="12" t="n">
        <f aca="false">IF($B$10&gt;=27,-PPMT($B$9,27,$B$10,$B$5),0)</f>
        <v>8031.38572622438</v>
      </c>
      <c r="D43" s="12" t="n">
        <f aca="false">IF($B$10&gt;=27,-IPMT($B$9,27,$B$10,$B$5),0)</f>
        <v>2469.54492863338</v>
      </c>
      <c r="E43" s="12" t="n">
        <f aca="false">IF($B$10&gt;=27,E42-C43,E42)</f>
        <v>303911.131574832</v>
      </c>
    </row>
    <row r="44" customFormat="false" ht="15" hidden="false" customHeight="false" outlineLevel="0" collapsed="false">
      <c r="A44" s="16" t="n">
        <v>28</v>
      </c>
      <c r="B44" s="17" t="n">
        <f aca="false">IF($B$10&gt;=28,-PMT($B$9,$B$10,$B$5),0)</f>
        <v>10500.9306548578</v>
      </c>
      <c r="C44" s="17" t="n">
        <f aca="false">IF($B$10&gt;=28,-PPMT($B$9,28,$B$10,$B$5),0)</f>
        <v>8094.96752989032</v>
      </c>
      <c r="D44" s="17" t="n">
        <f aca="false">IF($B$10&gt;=28,-IPMT($B$9,28,$B$10,$B$5),0)</f>
        <v>2405.96312496744</v>
      </c>
      <c r="E44" s="17" t="n">
        <f aca="false">IF($B$10&gt;=28,E43-C44,E43)</f>
        <v>295816.164044942</v>
      </c>
    </row>
    <row r="45" customFormat="false" ht="15" hidden="false" customHeight="false" outlineLevel="0" collapsed="false">
      <c r="A45" s="15" t="n">
        <v>29</v>
      </c>
      <c r="B45" s="12" t="n">
        <f aca="false">IF($B$10&gt;=29,-PMT($B$9,$B$10,$B$5),0)</f>
        <v>10500.9306548578</v>
      </c>
      <c r="C45" s="12" t="n">
        <f aca="false">IF($B$10&gt;=29,-PPMT($B$9,29,$B$10,$B$5),0)</f>
        <v>8159.05268950195</v>
      </c>
      <c r="D45" s="12" t="n">
        <f aca="false">IF($B$10&gt;=29,-IPMT($B$9,29,$B$10,$B$5),0)</f>
        <v>2341.87796535581</v>
      </c>
      <c r="E45" s="12" t="n">
        <f aca="false">IF($B$10&gt;=29,E44-C45,E44)</f>
        <v>287657.11135544</v>
      </c>
    </row>
    <row r="46" customFormat="false" ht="15" hidden="false" customHeight="false" outlineLevel="0" collapsed="false">
      <c r="A46" s="16" t="n">
        <v>30</v>
      </c>
      <c r="B46" s="17" t="n">
        <f aca="false">IF($B$10&gt;=30,-PMT($B$9,$B$10,$B$5),0)</f>
        <v>10500.9306548578</v>
      </c>
      <c r="C46" s="17" t="n">
        <f aca="false">IF($B$10&gt;=30,-PPMT($B$9,30,$B$10,$B$5),0)</f>
        <v>8223.6451899605</v>
      </c>
      <c r="D46" s="17" t="n">
        <f aca="false">IF($B$10&gt;=30,-IPMT($B$9,30,$B$10,$B$5),0)</f>
        <v>2277.28546489725</v>
      </c>
      <c r="E46" s="17" t="n">
        <f aca="false">IF($B$10&gt;=30,E45-C46,E45)</f>
        <v>279433.466165479</v>
      </c>
    </row>
    <row r="47" customFormat="false" ht="15" hidden="false" customHeight="false" outlineLevel="0" collapsed="false">
      <c r="A47" s="15" t="n">
        <v>31</v>
      </c>
      <c r="B47" s="12" t="n">
        <f aca="false">IF($B$10&gt;=31,-PMT($B$9,$B$10,$B$5),0)</f>
        <v>10500.9306548578</v>
      </c>
      <c r="C47" s="12" t="n">
        <f aca="false">IF($B$10&gt;=31,-PPMT($B$9,31,$B$10,$B$5),0)</f>
        <v>8288.74904771436</v>
      </c>
      <c r="D47" s="12" t="n">
        <f aca="false">IF($B$10&gt;=31,-IPMT($B$9,31,$B$10,$B$5),0)</f>
        <v>2212.1816071434</v>
      </c>
      <c r="E47" s="12" t="n">
        <f aca="false">IF($B$10&gt;=31,E46-C47,E46)</f>
        <v>271144.717117765</v>
      </c>
    </row>
    <row r="48" customFormat="false" ht="15" hidden="false" customHeight="false" outlineLevel="0" collapsed="false">
      <c r="A48" s="16" t="n">
        <v>32</v>
      </c>
      <c r="B48" s="17" t="n">
        <f aca="false">IF($B$10&gt;=32,-PMT($B$9,$B$10,$B$5),0)</f>
        <v>10500.9306548578</v>
      </c>
      <c r="C48" s="17" t="n">
        <f aca="false">IF($B$10&gt;=32,-PPMT($B$9,32,$B$10,$B$5),0)</f>
        <v>8354.36831100876</v>
      </c>
      <c r="D48" s="17" t="n">
        <f aca="false">IF($B$10&gt;=32,-IPMT($B$9,32,$B$10,$B$5),0)</f>
        <v>2146.56234384899</v>
      </c>
      <c r="E48" s="17" t="n">
        <f aca="false">IF($B$10&gt;=32,E47-C48,E47)</f>
        <v>262790.348806756</v>
      </c>
    </row>
    <row r="49" customFormat="false" ht="15" hidden="false" customHeight="false" outlineLevel="0" collapsed="false">
      <c r="A49" s="15" t="n">
        <v>33</v>
      </c>
      <c r="B49" s="12" t="n">
        <f aca="false">IF($B$10&gt;=33,-PMT($B$9,$B$10,$B$5),0)</f>
        <v>10500.9306548578</v>
      </c>
      <c r="C49" s="12" t="n">
        <f aca="false">IF($B$10&gt;=33,-PPMT($B$9,33,$B$10,$B$5),0)</f>
        <v>8420.50706013758</v>
      </c>
      <c r="D49" s="12" t="n">
        <f aca="false">IF($B$10&gt;=33,-IPMT($B$9,33,$B$10,$B$5),0)</f>
        <v>2080.42359472018</v>
      </c>
      <c r="E49" s="12" t="n">
        <f aca="false">IF($B$10&gt;=33,E48-C49,E48)</f>
        <v>254369.841746619</v>
      </c>
    </row>
    <row r="50" customFormat="false" ht="15" hidden="false" customHeight="false" outlineLevel="0" collapsed="false">
      <c r="A50" s="16" t="n">
        <v>34</v>
      </c>
      <c r="B50" s="17" t="n">
        <f aca="false">IF($B$10&gt;=34,-PMT($B$9,$B$10,$B$5),0)</f>
        <v>10500.9306548578</v>
      </c>
      <c r="C50" s="17" t="n">
        <f aca="false">IF($B$10&gt;=34,-PPMT($B$9,34,$B$10,$B$5),0)</f>
        <v>8487.169407697</v>
      </c>
      <c r="D50" s="17" t="n">
        <f aca="false">IF($B$10&gt;=34,-IPMT($B$9,34,$B$10,$B$5),0)</f>
        <v>2013.76124716075</v>
      </c>
      <c r="E50" s="17" t="n">
        <f aca="false">IF($B$10&gt;=34,E49-C50,E49)</f>
        <v>245882.672338922</v>
      </c>
    </row>
    <row r="51" customFormat="false" ht="15" hidden="false" customHeight="false" outlineLevel="0" collapsed="false">
      <c r="A51" s="15" t="n">
        <v>35</v>
      </c>
      <c r="B51" s="12" t="n">
        <f aca="false">IF($B$10&gt;=35,-PMT($B$9,$B$10,$B$5),0)</f>
        <v>10500.9306548578</v>
      </c>
      <c r="C51" s="12" t="n">
        <f aca="false">IF($B$10&gt;=35,-PPMT($B$9,35,$B$10,$B$5),0)</f>
        <v>8554.35949884127</v>
      </c>
      <c r="D51" s="12" t="n">
        <f aca="false">IF($B$10&gt;=35,-IPMT($B$9,35,$B$10,$B$5),0)</f>
        <v>1946.57115601649</v>
      </c>
      <c r="E51" s="12" t="n">
        <f aca="false">IF($B$10&gt;=35,E50-C51,E50)</f>
        <v>237328.31284008</v>
      </c>
    </row>
    <row r="52" customFormat="false" ht="15" hidden="false" customHeight="false" outlineLevel="0" collapsed="false">
      <c r="A52" s="16" t="n">
        <v>36</v>
      </c>
      <c r="B52" s="17" t="n">
        <f aca="false">IF($B$10&gt;=36,-PMT($B$9,$B$10,$B$5),0)</f>
        <v>10500.9306548578</v>
      </c>
      <c r="C52" s="17" t="n">
        <f aca="false">IF($B$10&gt;=36,-PPMT($B$9,36,$B$10,$B$5),0)</f>
        <v>8622.08151154043</v>
      </c>
      <c r="D52" s="17" t="n">
        <f aca="false">IF($B$10&gt;=36,-IPMT($B$9,36,$B$10,$B$5),0)</f>
        <v>1878.84914331733</v>
      </c>
      <c r="E52" s="17" t="n">
        <f aca="false">IF($B$10&gt;=36,E51-C52,E51)</f>
        <v>228706.23132854</v>
      </c>
    </row>
    <row r="53" customFormat="false" ht="15" hidden="false" customHeight="false" outlineLevel="0" collapsed="false">
      <c r="A53" s="15" t="n">
        <v>37</v>
      </c>
      <c r="B53" s="12" t="n">
        <f aca="false">IF($B$10&gt;=37,-PMT($B$9,$B$10,$B$5),0)</f>
        <v>10500.9306548578</v>
      </c>
      <c r="C53" s="12" t="n">
        <f aca="false">IF($B$10&gt;=37,-PPMT($B$9,37,$B$10,$B$5),0)</f>
        <v>8690.33965684012</v>
      </c>
      <c r="D53" s="12" t="n">
        <f aca="false">IF($B$10&gt;=37,-IPMT($B$9,37,$B$10,$B$5),0)</f>
        <v>1810.59099801763</v>
      </c>
      <c r="E53" s="12" t="n">
        <f aca="false">IF($B$10&gt;=37,E52-C53,E52)</f>
        <v>220015.8916717</v>
      </c>
    </row>
    <row r="54" customFormat="false" ht="15" hidden="false" customHeight="false" outlineLevel="0" collapsed="false">
      <c r="A54" s="16" t="n">
        <v>38</v>
      </c>
      <c r="B54" s="17" t="n">
        <f aca="false">IF($B$10&gt;=38,-PMT($B$9,$B$10,$B$5),0)</f>
        <v>10500.9306548578</v>
      </c>
      <c r="C54" s="17" t="n">
        <f aca="false">IF($B$10&gt;=38,-PPMT($B$9,38,$B$10,$B$5),0)</f>
        <v>8759.13817912344</v>
      </c>
      <c r="D54" s="17" t="n">
        <f aca="false">IF($B$10&gt;=38,-IPMT($B$9,38,$B$10,$B$5),0)</f>
        <v>1741.79247573432</v>
      </c>
      <c r="E54" s="17" t="n">
        <f aca="false">IF($B$10&gt;=38,E53-C54,E53)</f>
        <v>211256.753492576</v>
      </c>
    </row>
    <row r="55" customFormat="false" ht="15" hidden="false" customHeight="false" outlineLevel="0" collapsed="false">
      <c r="A55" s="15" t="n">
        <v>39</v>
      </c>
      <c r="B55" s="12" t="n">
        <f aca="false">IF($B$10&gt;=39,-PMT($B$9,$B$10,$B$5),0)</f>
        <v>10500.9306548578</v>
      </c>
      <c r="C55" s="12" t="n">
        <f aca="false">IF($B$10&gt;=39,-PPMT($B$9,39,$B$10,$B$5),0)</f>
        <v>8828.48135637483</v>
      </c>
      <c r="D55" s="12" t="n">
        <f aca="false">IF($B$10&gt;=39,-IPMT($B$9,39,$B$10,$B$5),0)</f>
        <v>1672.44929848292</v>
      </c>
      <c r="E55" s="12" t="n">
        <f aca="false">IF($B$10&gt;=39,E54-C55,E54)</f>
        <v>202428.272136202</v>
      </c>
    </row>
    <row r="56" customFormat="false" ht="15" hidden="false" customHeight="false" outlineLevel="0" collapsed="false">
      <c r="A56" s="16" t="n">
        <v>40</v>
      </c>
      <c r="B56" s="17" t="n">
        <f aca="false">IF($B$10&gt;=40,-PMT($B$9,$B$10,$B$5),0)</f>
        <v>10500.9306548578</v>
      </c>
      <c r="C56" s="17" t="n">
        <f aca="false">IF($B$10&gt;=40,-PPMT($B$9,40,$B$10,$B$5),0)</f>
        <v>8898.37350044613</v>
      </c>
      <c r="D56" s="17" t="n">
        <f aca="false">IF($B$10&gt;=40,-IPMT($B$9,40,$B$10,$B$5),0)</f>
        <v>1602.55715441162</v>
      </c>
      <c r="E56" s="17" t="n">
        <f aca="false">IF($B$10&gt;=40,E55-C56,E55)</f>
        <v>193529.898635755</v>
      </c>
    </row>
    <row r="57" customFormat="false" ht="15" hidden="false" customHeight="false" outlineLevel="0" collapsed="false">
      <c r="A57" s="15" t="n">
        <v>41</v>
      </c>
      <c r="B57" s="12" t="n">
        <f aca="false">IF($B$10&gt;=41,-PMT($B$9,$B$10,$B$5),0)</f>
        <v>10500.9306548578</v>
      </c>
      <c r="C57" s="12" t="n">
        <f aca="false">IF($B$10&gt;=41,-PPMT($B$9,41,$B$10,$B$5),0)</f>
        <v>8968.81895732466</v>
      </c>
      <c r="D57" s="12" t="n">
        <f aca="false">IF($B$10&gt;=41,-IPMT($B$9,41,$B$10,$B$5),0)</f>
        <v>1532.11169753309</v>
      </c>
      <c r="E57" s="12" t="n">
        <f aca="false">IF($B$10&gt;=41,E56-C57,E56)</f>
        <v>184561.079678431</v>
      </c>
    </row>
    <row r="58" customFormat="false" ht="15" hidden="false" customHeight="false" outlineLevel="0" collapsed="false">
      <c r="A58" s="16" t="n">
        <v>42</v>
      </c>
      <c r="B58" s="17" t="n">
        <f aca="false">IF($B$10&gt;=42,-PMT($B$9,$B$10,$B$5),0)</f>
        <v>10500.9306548578</v>
      </c>
      <c r="C58" s="17" t="n">
        <f aca="false">IF($B$10&gt;=42,-PPMT($B$9,42,$B$10,$B$5),0)</f>
        <v>9039.82210740348</v>
      </c>
      <c r="D58" s="17" t="n">
        <f aca="false">IF($B$10&gt;=42,-IPMT($B$9,42,$B$10,$B$5),0)</f>
        <v>1461.10854745427</v>
      </c>
      <c r="E58" s="17" t="n">
        <f aca="false">IF($B$10&gt;=42,E57-C58,E57)</f>
        <v>175521.257571027</v>
      </c>
    </row>
    <row r="59" customFormat="false" ht="15" hidden="false" customHeight="false" outlineLevel="0" collapsed="false">
      <c r="A59" s="15" t="n">
        <v>43</v>
      </c>
      <c r="B59" s="12" t="n">
        <f aca="false">IF($B$10&gt;=43,-PMT($B$9,$B$10,$B$5),0)</f>
        <v>10500.9306548578</v>
      </c>
      <c r="C59" s="12" t="n">
        <f aca="false">IF($B$10&gt;=43,-PPMT($B$9,43,$B$10,$B$5),0)</f>
        <v>9111.38736575376</v>
      </c>
      <c r="D59" s="12" t="n">
        <f aca="false">IF($B$10&gt;=43,-IPMT($B$9,43,$B$10,$B$5),0)</f>
        <v>1389.543289104</v>
      </c>
      <c r="E59" s="12" t="n">
        <f aca="false">IF($B$10&gt;=43,E58-C59,E58)</f>
        <v>166409.870205274</v>
      </c>
    </row>
    <row r="60" customFormat="false" ht="15" hidden="false" customHeight="false" outlineLevel="0" collapsed="false">
      <c r="A60" s="16" t="n">
        <v>44</v>
      </c>
      <c r="B60" s="17" t="n">
        <f aca="false">IF($B$10&gt;=44,-PMT($B$9,$B$10,$B$5),0)</f>
        <v>10500.9306548578</v>
      </c>
      <c r="C60" s="17" t="n">
        <f aca="false">IF($B$10&gt;=44,-PPMT($B$9,44,$B$10,$B$5),0)</f>
        <v>9183.51918239931</v>
      </c>
      <c r="D60" s="17" t="n">
        <f aca="false">IF($B$10&gt;=44,-IPMT($B$9,44,$B$10,$B$5),0)</f>
        <v>1317.41147245845</v>
      </c>
      <c r="E60" s="17" t="n">
        <f aca="false">IF($B$10&gt;=44,E59-C60,E59)</f>
        <v>157226.351022874</v>
      </c>
    </row>
    <row r="61" customFormat="false" ht="15" hidden="false" customHeight="false" outlineLevel="0" collapsed="false">
      <c r="A61" s="15" t="n">
        <v>45</v>
      </c>
      <c r="B61" s="12" t="n">
        <f aca="false">IF($B$10&gt;=45,-PMT($B$9,$B$10,$B$5),0)</f>
        <v>10500.9306548578</v>
      </c>
      <c r="C61" s="12" t="n">
        <f aca="false">IF($B$10&gt;=45,-PPMT($B$9,45,$B$10,$B$5),0)</f>
        <v>9256.2220425933</v>
      </c>
      <c r="D61" s="12" t="n">
        <f aca="false">IF($B$10&gt;=45,-IPMT($B$9,45,$B$10,$B$5),0)</f>
        <v>1244.70861226445</v>
      </c>
      <c r="E61" s="12" t="n">
        <f aca="false">IF($B$10&gt;=45,E60-C61,E60)</f>
        <v>147970.128980281</v>
      </c>
    </row>
    <row r="62" customFormat="false" ht="15" hidden="false" customHeight="false" outlineLevel="0" collapsed="false">
      <c r="A62" s="16" t="n">
        <v>46</v>
      </c>
      <c r="B62" s="17" t="n">
        <f aca="false">IF($B$10&gt;=46,-PMT($B$9,$B$10,$B$5),0)</f>
        <v>10500.9306548578</v>
      </c>
      <c r="C62" s="17" t="n">
        <f aca="false">IF($B$10&gt;=46,-PPMT($B$9,46,$B$10,$B$5),0)</f>
        <v>9329.50046709717</v>
      </c>
      <c r="D62" s="17" t="n">
        <f aca="false">IF($B$10&gt;=46,-IPMT($B$9,46,$B$10,$B$5),0)</f>
        <v>1171.43018776059</v>
      </c>
      <c r="E62" s="17" t="n">
        <f aca="false">IF($B$10&gt;=46,E61-C62,E61)</f>
        <v>138640.628513184</v>
      </c>
    </row>
    <row r="63" customFormat="false" ht="15" hidden="false" customHeight="false" outlineLevel="0" collapsed="false">
      <c r="A63" s="15" t="n">
        <v>47</v>
      </c>
      <c r="B63" s="12" t="n">
        <f aca="false">IF($B$10&gt;=47,-PMT($B$9,$B$10,$B$5),0)</f>
        <v>10500.9306548578</v>
      </c>
      <c r="C63" s="12" t="n">
        <f aca="false">IF($B$10&gt;=47,-PPMT($B$9,47,$B$10,$B$5),0)</f>
        <v>9403.35901246168</v>
      </c>
      <c r="D63" s="12" t="n">
        <f aca="false">IF($B$10&gt;=47,-IPMT($B$9,47,$B$10,$B$5),0)</f>
        <v>1097.57164239607</v>
      </c>
      <c r="E63" s="12" t="n">
        <f aca="false">IF($B$10&gt;=47,E62-C63,E62)</f>
        <v>129237.269500722</v>
      </c>
    </row>
    <row r="64" customFormat="false" ht="15" hidden="false" customHeight="false" outlineLevel="0" collapsed="false">
      <c r="A64" s="16" t="n">
        <v>48</v>
      </c>
      <c r="B64" s="17" t="n">
        <f aca="false">IF($B$10&gt;=48,-PMT($B$9,$B$10,$B$5),0)</f>
        <v>10500.9306548578</v>
      </c>
      <c r="C64" s="17" t="n">
        <f aca="false">IF($B$10&gt;=48,-PPMT($B$9,48,$B$10,$B$5),0)</f>
        <v>9477.80227131034</v>
      </c>
      <c r="D64" s="17" t="n">
        <f aca="false">IF($B$10&gt;=48,-IPMT($B$9,48,$B$10,$B$5),0)</f>
        <v>1023.12838354742</v>
      </c>
      <c r="E64" s="17" t="n">
        <f aca="false">IF($B$10&gt;=48,E63-C64,E63)</f>
        <v>119759.467229412</v>
      </c>
    </row>
    <row r="65" customFormat="false" ht="15" hidden="false" customHeight="false" outlineLevel="0" collapsed="false">
      <c r="A65" s="15" t="n">
        <v>49</v>
      </c>
      <c r="B65" s="12" t="n">
        <f aca="false">IF($B$10&gt;=49,-PMT($B$9,$B$10,$B$5),0)</f>
        <v>10500.9306548578</v>
      </c>
      <c r="C65" s="12" t="n">
        <f aca="false">IF($B$10&gt;=49,-PPMT($B$9,49,$B$10,$B$5),0)</f>
        <v>9552.83487262488</v>
      </c>
      <c r="D65" s="12" t="n">
        <f aca="false">IF($B$10&gt;=49,-IPMT($B$9,49,$B$10,$B$5),0)</f>
        <v>948.095782232879</v>
      </c>
      <c r="E65" s="12" t="n">
        <f aca="false">IF($B$10&gt;=49,E64-C65,E64)</f>
        <v>110206.632356787</v>
      </c>
    </row>
    <row r="66" customFormat="false" ht="15" hidden="false" customHeight="false" outlineLevel="0" collapsed="false">
      <c r="A66" s="16" t="n">
        <v>50</v>
      </c>
      <c r="B66" s="17" t="n">
        <f aca="false">IF($B$10&gt;=50,-PMT($B$9,$B$10,$B$5),0)</f>
        <v>10500.9306548578</v>
      </c>
      <c r="C66" s="17" t="n">
        <f aca="false">IF($B$10&gt;=50,-PPMT($B$9,50,$B$10,$B$5),0)</f>
        <v>9628.46148203316</v>
      </c>
      <c r="D66" s="17" t="n">
        <f aca="false">IF($B$10&gt;=50,-IPMT($B$9,50,$B$10,$B$5),0)</f>
        <v>872.469172824599</v>
      </c>
      <c r="E66" s="17" t="n">
        <f aca="false">IF($B$10&gt;=50,E65-C66,E65)</f>
        <v>100578.170874754</v>
      </c>
    </row>
    <row r="67" customFormat="false" ht="15" hidden="false" customHeight="false" outlineLevel="0" collapsed="false">
      <c r="A67" s="15" t="n">
        <v>51</v>
      </c>
      <c r="B67" s="12" t="n">
        <f aca="false">IF($B$10&gt;=51,-PMT($B$9,$B$10,$B$5),0)</f>
        <v>10500.9306548578</v>
      </c>
      <c r="C67" s="12" t="n">
        <f aca="false">IF($B$10&gt;=51,-PPMT($B$9,51,$B$10,$B$5),0)</f>
        <v>9704.68680209925</v>
      </c>
      <c r="D67" s="12" t="n">
        <f aca="false">IF($B$10&gt;=51,-IPMT($B$9,51,$B$10,$B$5),0)</f>
        <v>796.243852758504</v>
      </c>
      <c r="E67" s="12" t="n">
        <f aca="false">IF($B$10&gt;=51,E66-C67,E66)</f>
        <v>90873.4840726545</v>
      </c>
    </row>
    <row r="68" customFormat="false" ht="15" hidden="false" customHeight="false" outlineLevel="0" collapsed="false">
      <c r="A68" s="16" t="n">
        <v>52</v>
      </c>
      <c r="B68" s="17" t="n">
        <f aca="false">IF($B$10&gt;=52,-PMT($B$9,$B$10,$B$5),0)</f>
        <v>10500.9306548578</v>
      </c>
      <c r="C68" s="17" t="n">
        <f aca="false">IF($B$10&gt;=52,-PPMT($B$9,52,$B$10,$B$5),0)</f>
        <v>9781.51557261587</v>
      </c>
      <c r="D68" s="17" t="n">
        <f aca="false">IF($B$10&gt;=52,-IPMT($B$9,52,$B$10,$B$5),0)</f>
        <v>719.415082241887</v>
      </c>
      <c r="E68" s="17" t="n">
        <f aca="false">IF($B$10&gt;=52,E67-C68,E67)</f>
        <v>81091.9685000386</v>
      </c>
    </row>
    <row r="69" customFormat="false" ht="15" hidden="false" customHeight="false" outlineLevel="0" collapsed="false">
      <c r="A69" s="15" t="n">
        <v>53</v>
      </c>
      <c r="B69" s="12" t="n">
        <f aca="false">IF($B$10&gt;=53,-PMT($B$9,$B$10,$B$5),0)</f>
        <v>10500.9306548578</v>
      </c>
      <c r="C69" s="12" t="n">
        <f aca="false">IF($B$10&gt;=53,-PPMT($B$9,53,$B$10,$B$5),0)</f>
        <v>9858.95257089908</v>
      </c>
      <c r="D69" s="12" t="n">
        <f aca="false">IF($B$10&gt;=53,-IPMT($B$9,53,$B$10,$B$5),0)</f>
        <v>641.978083958679</v>
      </c>
      <c r="E69" s="12" t="n">
        <f aca="false">IF($B$10&gt;=53,E68-C69,E68)</f>
        <v>71233.0159291395</v>
      </c>
    </row>
    <row r="70" customFormat="false" ht="15" hidden="false" customHeight="false" outlineLevel="0" collapsed="false">
      <c r="A70" s="16" t="n">
        <v>54</v>
      </c>
      <c r="B70" s="17" t="n">
        <f aca="false">IF($B$10&gt;=54,-PMT($B$9,$B$10,$B$5),0)</f>
        <v>10500.9306548578</v>
      </c>
      <c r="C70" s="17" t="n">
        <f aca="false">IF($B$10&gt;=54,-PPMT($B$9,54,$B$10,$B$5),0)</f>
        <v>9937.00261208536</v>
      </c>
      <c r="D70" s="17" t="n">
        <f aca="false">IF($B$10&gt;=54,-IPMT($B$9,54,$B$10,$B$5),0)</f>
        <v>563.928042772395</v>
      </c>
      <c r="E70" s="17" t="n">
        <f aca="false">IF($B$10&gt;=54,E69-C70,E69)</f>
        <v>61296.0133170542</v>
      </c>
    </row>
    <row r="71" customFormat="false" ht="15" hidden="false" customHeight="false" outlineLevel="0" collapsed="false">
      <c r="A71" s="15" t="n">
        <v>55</v>
      </c>
      <c r="B71" s="12" t="n">
        <f aca="false">IF($B$10&gt;=55,-PMT($B$9,$B$10,$B$5),0)</f>
        <v>10500.9306548578</v>
      </c>
      <c r="C71" s="12" t="n">
        <f aca="false">IF($B$10&gt;=55,-PPMT($B$9,55,$B$10,$B$5),0)</f>
        <v>10015.670549431</v>
      </c>
      <c r="D71" s="12" t="n">
        <f aca="false">IF($B$10&gt;=55,-IPMT($B$9,55,$B$10,$B$5),0)</f>
        <v>485.26010542672</v>
      </c>
      <c r="E71" s="12" t="n">
        <f aca="false">IF($B$10&gt;=55,E70-C71,E70)</f>
        <v>51280.3427676231</v>
      </c>
    </row>
    <row r="72" customFormat="false" ht="15" hidden="false" customHeight="false" outlineLevel="0" collapsed="false">
      <c r="A72" s="16" t="n">
        <v>56</v>
      </c>
      <c r="B72" s="17" t="n">
        <f aca="false">IF($B$10&gt;=56,-PMT($B$9,$B$10,$B$5),0)</f>
        <v>10500.9306548578</v>
      </c>
      <c r="C72" s="17" t="n">
        <f aca="false">IF($B$10&gt;=56,-PPMT($B$9,56,$B$10,$B$5),0)</f>
        <v>10094.961274614</v>
      </c>
      <c r="D72" s="17" t="n">
        <f aca="false">IF($B$10&gt;=56,-IPMT($B$9,56,$B$10,$B$5),0)</f>
        <v>405.969380243727</v>
      </c>
      <c r="E72" s="17" t="n">
        <f aca="false">IF($B$10&gt;=56,E71-C72,E71)</f>
        <v>41185.3814930091</v>
      </c>
    </row>
    <row r="73" customFormat="false" ht="15" hidden="false" customHeight="false" outlineLevel="0" collapsed="false">
      <c r="A73" s="15" t="n">
        <v>57</v>
      </c>
      <c r="B73" s="12" t="n">
        <f aca="false">IF($B$10&gt;=57,-PMT($B$9,$B$10,$B$5),0)</f>
        <v>10500.9306548578</v>
      </c>
      <c r="C73" s="12" t="n">
        <f aca="false">IF($B$10&gt;=57,-PPMT($B$9,57,$B$10,$B$5),0)</f>
        <v>10174.8797180381</v>
      </c>
      <c r="D73" s="12" t="n">
        <f aca="false">IF($B$10&gt;=57,-IPMT($B$9,57,$B$10,$B$5),0)</f>
        <v>326.050936819698</v>
      </c>
      <c r="E73" s="12" t="n">
        <f aca="false">IF($B$10&gt;=57,E72-C73,E72)</f>
        <v>31010.501774971</v>
      </c>
    </row>
    <row r="74" customFormat="false" ht="15" hidden="false" customHeight="false" outlineLevel="0" collapsed="false">
      <c r="A74" s="16" t="n">
        <v>58</v>
      </c>
      <c r="B74" s="17" t="n">
        <f aca="false">IF($B$10&gt;=58,-PMT($B$9,$B$10,$B$5),0)</f>
        <v>10500.9306548578</v>
      </c>
      <c r="C74" s="17" t="n">
        <f aca="false">IF($B$10&gt;=58,-PPMT($B$9,58,$B$10,$B$5),0)</f>
        <v>10255.4308491392</v>
      </c>
      <c r="D74" s="17" t="n">
        <f aca="false">IF($B$10&gt;=58,-IPMT($B$9,58,$B$10,$B$5),0)</f>
        <v>245.499805718565</v>
      </c>
      <c r="E74" s="17" t="n">
        <f aca="false">IF($B$10&gt;=58,E73-C74,E73)</f>
        <v>20755.0709258318</v>
      </c>
    </row>
    <row r="75" customFormat="false" ht="15" hidden="false" customHeight="false" outlineLevel="0" collapsed="false">
      <c r="A75" s="15" t="n">
        <v>59</v>
      </c>
      <c r="B75" s="12" t="n">
        <f aca="false">IF($B$10&gt;=59,-PMT($B$9,$B$10,$B$5),0)</f>
        <v>10500.9306548578</v>
      </c>
      <c r="C75" s="12" t="n">
        <f aca="false">IF($B$10&gt;=59,-PPMT($B$9,59,$B$10,$B$5),0)</f>
        <v>10336.6196766949</v>
      </c>
      <c r="D75" s="12" t="n">
        <f aca="false">IF($B$10&gt;=59,-IPMT($B$9,59,$B$10,$B$5),0)</f>
        <v>164.310978162881</v>
      </c>
      <c r="E75" s="12" t="n">
        <f aca="false">IF($B$10&gt;=59,E74-C75,E74)</f>
        <v>10418.451249137</v>
      </c>
    </row>
    <row r="76" customFormat="false" ht="15" hidden="false" customHeight="false" outlineLevel="0" collapsed="false">
      <c r="A76" s="16" t="n">
        <v>60</v>
      </c>
      <c r="B76" s="17" t="n">
        <f aca="false">IF($B$10&gt;=60,-PMT($B$9,$B$10,$B$5),0)</f>
        <v>10500.9306548578</v>
      </c>
      <c r="C76" s="17" t="n">
        <f aca="false">IF($B$10&gt;=60,-PPMT($B$9,60,$B$10,$B$5),0)</f>
        <v>10418.4512491354</v>
      </c>
      <c r="D76" s="17" t="n">
        <f aca="false">IF($B$10&gt;=60,-IPMT($B$9,60,$B$10,$B$5),0)</f>
        <v>82.4794057223811</v>
      </c>
      <c r="E76" s="17" t="n">
        <f aca="false">IF($B$10&gt;=60,E75-C76,E75)</f>
        <v>1.59343471750617E-009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2026-08-28T09:36:28Z</dcterms:created>
  <dc:creator>openpyxl</dc:creator>
  <dc:description/>
  <dc:language>en-US</dc:language>
  <cp:lastModifiedBy/>
  <dcterms:modified xsi:type="dcterms:W3CDTF">2026-08-28T09:36:28Z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