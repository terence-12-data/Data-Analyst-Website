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tenance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<sst xmlns="http://schemas.openxmlformats.org/spreadsheetml/2006/main" count="21" uniqueCount="20">
  <si>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Vehicle Maintenance Log</t>
  </si>
  <si>
    <t xml:space="preserve">Log every service. Cost totals and next-service reminders update automatically.</t>
  </si>
  <si>
    <t xml:space="preserve">Legend:  Blue text + yellow fill = cells you edit. Service Type is a dropdown.</t>
  </si>
  <si>
    <t xml:space="preserve">Date</t>
  </si>
  <si>
    <t xml:space="preserve">Odometer (km)</t>
  </si>
  <si>
    <t xml:space="preserve">Service Type</t>
  </si>
  <si>
    <t xml:space="preserve">Cost</t>
  </si>
  <si>
    <t xml:space="preserve">Next Service Due (km)</t>
  </si>
  <si>
    <t xml:space="preserve">Notes</t>
  </si>
  <si>
    <t xml:space="preserve">Oil Change</t>
  </si>
  <si>
    <t xml:space="preserve">Full synthetic</t>
  </si>
  <si>
    <t xml:space="preserve">Tyre Rotation</t>
  </si>
  <si>
    <t xml:space="preserve">Brake Pads</t>
  </si>
  <si>
    <t xml:space="preserve">Front pads replaced</t>
  </si>
  <si>
    <t xml:space="preserve">General Service</t>
  </si>
  <si>
    <t xml:space="preserve">Summary</t>
  </si>
  <si>
    <t xml:space="preserve">Total Services Logged</t>
  </si>
  <si>
    <t xml:space="preserve">Total Spent</t>
  </si>
  <si>
    <t xml:space="preserve">Avg Cost per Service</t>
  </si>
  <si>
    <t xml:space="preserve">Latest Odometer Reading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</si>
</sst>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\₹#,##0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7474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37474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37474F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46082</v>
      </c>
      <c r="B6" s="6" t="n">
        <v>12500</v>
      </c>
      <c r="C6" s="7" t="s">
        <v>9</v>
      </c>
      <c r="D6" s="8" t="n">
        <v>2200</v>
      </c>
      <c r="E6" s="6" t="n">
        <v>17500</v>
      </c>
      <c r="F6" s="9" t="s">
        <v>10</v>
      </c>
    </row>
    <row r="7" customFormat="false" ht="15" hidden="false" customHeight="false" outlineLevel="0" collapsed="false">
      <c r="A7" s="5" t="n">
        <v>46142</v>
      </c>
      <c r="B7" s="6" t="n">
        <v>15200</v>
      </c>
      <c r="C7" s="7" t="s">
        <v>11</v>
      </c>
      <c r="D7" s="8" t="n">
        <v>800</v>
      </c>
      <c r="E7" s="6" t="n">
        <v>20200</v>
      </c>
      <c r="F7" s="9"/>
    </row>
    <row r="8" customFormat="false" ht="15" hidden="false" customHeight="false" outlineLevel="0" collapsed="false">
      <c r="A8" s="5" t="n">
        <v>46202</v>
      </c>
      <c r="B8" s="6" t="n">
        <v>17800</v>
      </c>
      <c r="C8" s="7" t="s">
        <v>12</v>
      </c>
      <c r="D8" s="8" t="n">
        <v>4500</v>
      </c>
      <c r="E8" s="6" t="n">
        <v>27800</v>
      </c>
      <c r="F8" s="9" t="s">
        <v>13</v>
      </c>
    </row>
    <row r="9" customFormat="false" ht="15" hidden="false" customHeight="false" outlineLevel="0" collapsed="false">
      <c r="A9" s="5" t="n">
        <v>46252</v>
      </c>
      <c r="B9" s="6" t="n">
        <v>18500</v>
      </c>
      <c r="C9" s="7" t="s">
        <v>14</v>
      </c>
      <c r="D9" s="8" t="n">
        <v>3800</v>
      </c>
      <c r="E9" s="6" t="n">
        <v>23500</v>
      </c>
      <c r="F9" s="9"/>
    </row>
    <row r="10" customFormat="false" ht="15" hidden="false" customHeight="false" outlineLevel="0" collapsed="false">
      <c r="A10" s="5"/>
      <c r="B10" s="6"/>
      <c r="C10" s="7"/>
      <c r="D10" s="8"/>
      <c r="E10" s="6"/>
      <c r="F10" s="7"/>
    </row>
    <row r="11" customFormat="false" ht="15" hidden="false" customHeight="false" outlineLevel="0" collapsed="false">
      <c r="A11" s="5"/>
      <c r="B11" s="6"/>
      <c r="C11" s="7"/>
      <c r="D11" s="8"/>
      <c r="E11" s="6"/>
      <c r="F11" s="7"/>
    </row>
    <row r="12" customFormat="false" ht="15" hidden="false" customHeight="false" outlineLevel="0" collapsed="false">
      <c r="A12" s="5"/>
      <c r="B12" s="6"/>
      <c r="C12" s="7"/>
      <c r="D12" s="8"/>
      <c r="E12" s="6"/>
      <c r="F12" s="7"/>
    </row>
    <row r="13" customFormat="false" ht="15" hidden="false" customHeight="false" outlineLevel="0" collapsed="false">
      <c r="A13" s="5"/>
      <c r="B13" s="6"/>
      <c r="C13" s="7"/>
      <c r="D13" s="8"/>
      <c r="E13" s="6"/>
      <c r="F13" s="7"/>
    </row>
    <row r="14" customFormat="false" ht="15" hidden="false" customHeight="false" outlineLevel="0" collapsed="false">
      <c r="A14" s="5"/>
      <c r="B14" s="6"/>
      <c r="C14" s="7"/>
      <c r="D14" s="8"/>
      <c r="E14" s="6"/>
      <c r="F14" s="7"/>
    </row>
    <row r="15" customFormat="false" ht="15" hidden="false" customHeight="false" outlineLevel="0" collapsed="false">
      <c r="A15" s="5"/>
      <c r="B15" s="6"/>
      <c r="C15" s="7"/>
      <c r="D15" s="8"/>
      <c r="E15" s="6"/>
      <c r="F15" s="7"/>
    </row>
    <row r="16" customFormat="false" ht="15" hidden="false" customHeight="false" outlineLevel="0" collapsed="false">
      <c r="A16" s="5"/>
      <c r="B16" s="6"/>
      <c r="C16" s="7"/>
      <c r="D16" s="8"/>
      <c r="E16" s="6"/>
      <c r="F16" s="7"/>
    </row>
    <row r="17" customFormat="false" ht="15" hidden="false" customHeight="false" outlineLevel="0" collapsed="false">
      <c r="A17" s="5"/>
      <c r="B17" s="6"/>
      <c r="C17" s="7"/>
      <c r="D17" s="8"/>
      <c r="E17" s="6"/>
      <c r="F17" s="7"/>
    </row>
    <row r="18" customFormat="false" ht="15" hidden="false" customHeight="false" outlineLevel="0" collapsed="false">
      <c r="A18" s="5"/>
      <c r="B18" s="6"/>
      <c r="C18" s="7"/>
      <c r="D18" s="8"/>
      <c r="E18" s="6"/>
      <c r="F18" s="7"/>
    </row>
    <row r="19" customFormat="false" ht="15" hidden="false" customHeight="false" outlineLevel="0" collapsed="false">
      <c r="A19" s="5"/>
      <c r="B19" s="6"/>
      <c r="C19" s="7"/>
      <c r="D19" s="8"/>
      <c r="E19" s="6"/>
      <c r="F19" s="7"/>
    </row>
    <row r="21" customFormat="false" ht="15" hidden="false" customHeight="false" outlineLevel="0" collapsed="false">
      <c r="A21" s="10" t="s">
        <v>15</v>
      </c>
    </row>
    <row r="22" customFormat="false" ht="15" hidden="false" customHeight="false" outlineLevel="0" collapsed="false">
      <c r="A22" s="11" t="s">
        <v>16</v>
      </c>
      <c r="B22" s="12" t="n">
        <f aca="false">COUNTA(A6:A19)</f>
        <v>4</v>
      </c>
    </row>
    <row r="23" customFormat="false" ht="15" hidden="false" customHeight="false" outlineLevel="0" collapsed="false">
      <c r="A23" s="11" t="s">
        <v>17</v>
      </c>
      <c r="B23" s="13" t="n">
        <f aca="false">SUM(D6:D19)</f>
        <v>11300</v>
      </c>
    </row>
    <row r="24" customFormat="false" ht="15" hidden="false" customHeight="false" outlineLevel="0" collapsed="false">
      <c r="A24" s="11" t="s">
        <v>18</v>
      </c>
      <c r="B24" s="13" t="n">
        <f aca="false">IFERROR(B23/B22,0)</f>
        <v>2825</v>
      </c>
    </row>
    <row r="25" customFormat="false" ht="15" hidden="false" customHeight="false" outlineLevel="0" collapsed="false">
      <c r="A25" s="11" t="s">
        <v>19</v>
      </c>
      <c r="B25" s="14" t="n">
        <f aca="false">MAX(B6:B19)</f>
        <v>18500</v>
      </c>
    </row>
    <row r="26" customFormat="false" ht="15" hidden="false" customHeight="false" outlineLevel="0" collapsed="false">
      <c r="A26" s="11" t="s">
        <v>7</v>
      </c>
      <c r="B26" s="14" t="n">
        <f aca="false">IFERROR(INDEX(E6:E19,MATCH(B25,B6:B19,0)),"-")</f>
        <v>23500</v>
      </c>
    </row>
  </sheetData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C6:C19" type="list">
      <formula1>"Oil Change,Tyre Rotation,Brake Pads,General Service,Battery,Filter Change,Other"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2026-08-28T09:43:20Z</dcterms:created>
  <dc:creator>openpyxl</dc:creator>
  <dc:description/>
  <dc:language>en-US</dc:language>
  <cp:lastModifiedBy/>
  <dcterms:modified xsi:type="dcterms:W3CDTF">2026-08-28T09:43:20Z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