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tals Log" sheetId="1" state="visible" r:id="rId3"/>
    <sheet name="Medication 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<sst xmlns="http://schemas.openxmlformats.org/spreadsheetml/2006/main" count="42" uniqueCount="37">
  <si>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t xml:space="preserve">Health &amp; Medication Tracker</t>
  </si>
  <si>
    <t xml:space="preserve">Log daily vitals below. Out-of-range readings are flagged automatically. Not a substitute for medical advice.</t>
  </si>
  <si>
    <t xml:space="preserve">Legend:  Blue text + yellow fill = cells you edit. Red highlight = a reading outside the typical healthy range — always confirm with a doctor.</t>
  </si>
  <si>
    <t xml:space="preserve">Date</t>
  </si>
  <si>
    <t xml:space="preserve">BP Systolic</t>
  </si>
  <si>
    <t xml:space="preserve">BP Diastolic</t>
  </si>
  <si>
    <t xml:space="preserve">Heart Rate (bpm)</t>
  </si>
  <si>
    <t xml:space="preserve">Blood Glucose (mg/dL)</t>
  </si>
  <si>
    <t xml:space="preserve">Weight (kg)</t>
  </si>
  <si>
    <t xml:space="preserve">Notes</t>
  </si>
  <si>
    <t xml:space="preserve">Felt fine</t>
  </si>
  <si>
    <t xml:space="preserve">Slightly stressed</t>
  </si>
  <si>
    <t xml:space="preserve">Averages</t>
  </si>
  <si>
    <t xml:space="preserve">Avg BP</t>
  </si>
  <si>
    <t xml:space="preserve">Avg Heart Rate</t>
  </si>
  <si>
    <t xml:space="preserve">Avg Blood Glucose</t>
  </si>
  <si>
    <t xml:space="preserve">Weight Change (first to last)</t>
  </si>
  <si>
    <t xml:space="preserve">Medication Schedule</t>
  </si>
  <si>
    <t xml:space="preserve">Track daily doses. Check off Taken once done.</t>
  </si>
  <si>
    <t xml:space="preserve">Legend:  Blue text + yellow fill = cells you edit. Type 'Yes' in Taken once a dose is completed.</t>
  </si>
  <si>
    <t xml:space="preserve">Medicine</t>
  </si>
  <si>
    <t xml:space="preserve">Dosage</t>
  </si>
  <si>
    <t xml:space="preserve">Time</t>
  </si>
  <si>
    <t xml:space="preserve">Frequency</t>
  </si>
  <si>
    <t xml:space="preserve">Taken Today?</t>
  </si>
  <si>
    <t xml:space="preserve">Vitamin D3</t>
  </si>
  <si>
    <t xml:space="preserve">60,000 IU</t>
  </si>
  <si>
    <t xml:space="preserve">9:00 AM</t>
  </si>
  <si>
    <t xml:space="preserve">Weekly</t>
  </si>
  <si>
    <t xml:space="preserve">Yes</t>
  </si>
  <si>
    <t xml:space="preserve">Metformin</t>
  </si>
  <si>
    <t xml:space="preserve">500 mg</t>
  </si>
  <si>
    <t xml:space="preserve">Daily</t>
  </si>
  <si>
    <t xml:space="preserve">9:00 PM</t>
  </si>
  <si>
    <t xml:space="preserve">No</t>
  </si>
  <si>
    <t xml:space="preserve">Doses Taken Today</t>
  </si>
  <si>
    <t xml:space="preserve">Doses Missed Today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</si>
</sst>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4F7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B4F7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9C8"/>
      </patternFill>
    </fill>
    <fill>
      <patternFill patternType="solid">
        <fgColor rgb="FF1B4F7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7C7"/>
        </patternFill>
      </fill>
    </dxf>
    <dxf>
      <fill>
        <patternFill>
          <bgColor rgb="FFFDE9C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8C7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9C8"/>
      <rgbColor rgb="FF99CCFF"/>
      <rgbColor rgb="FFFF99CC"/>
      <rgbColor rgb="FFCC99FF"/>
      <rgbColor rgb="FFF8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46258</v>
      </c>
      <c r="B6" s="6" t="n">
        <v>118</v>
      </c>
      <c r="C6" s="6" t="n">
        <v>76</v>
      </c>
      <c r="D6" s="6" t="n">
        <v>72</v>
      </c>
      <c r="E6" s="6" t="n">
        <v>92</v>
      </c>
      <c r="F6" s="6" t="n">
        <v>70.5</v>
      </c>
      <c r="G6" s="7" t="s">
        <v>10</v>
      </c>
    </row>
    <row r="7" customFormat="false" ht="15" hidden="false" customHeight="false" outlineLevel="0" collapsed="false">
      <c r="A7" s="5" t="n">
        <v>46259</v>
      </c>
      <c r="B7" s="6" t="n">
        <v>122</v>
      </c>
      <c r="C7" s="6" t="n">
        <v>80</v>
      </c>
      <c r="D7" s="6" t="n">
        <v>75</v>
      </c>
      <c r="E7" s="6" t="n">
        <v>98</v>
      </c>
      <c r="F7" s="6" t="n">
        <v>70.3</v>
      </c>
      <c r="G7" s="7"/>
    </row>
    <row r="8" customFormat="false" ht="15" hidden="false" customHeight="false" outlineLevel="0" collapsed="false">
      <c r="A8" s="5" t="n">
        <v>46260</v>
      </c>
      <c r="B8" s="6" t="n">
        <v>135</v>
      </c>
      <c r="C8" s="6" t="n">
        <v>88</v>
      </c>
      <c r="D8" s="6" t="n">
        <v>80</v>
      </c>
      <c r="E8" s="6" t="n">
        <v>110</v>
      </c>
      <c r="F8" s="6" t="n">
        <v>70.6</v>
      </c>
      <c r="G8" s="7" t="s">
        <v>11</v>
      </c>
    </row>
    <row r="9" customFormat="false" ht="15" hidden="false" customHeight="false" outlineLevel="0" collapsed="false">
      <c r="A9" s="5" t="n">
        <v>46261</v>
      </c>
      <c r="B9" s="6" t="n">
        <v>119</v>
      </c>
      <c r="C9" s="6" t="n">
        <v>78</v>
      </c>
      <c r="D9" s="6" t="n">
        <v>70</v>
      </c>
      <c r="E9" s="6" t="n">
        <v>95</v>
      </c>
      <c r="F9" s="6" t="n">
        <v>70.2</v>
      </c>
      <c r="G9" s="7"/>
    </row>
    <row r="10" customFormat="false" ht="15" hidden="false" customHeight="false" outlineLevel="0" collapsed="false">
      <c r="A10" s="5" t="n">
        <v>46262</v>
      </c>
      <c r="B10" s="6" t="n">
        <v>121</v>
      </c>
      <c r="C10" s="6" t="n">
        <v>79</v>
      </c>
      <c r="D10" s="6" t="n">
        <v>74</v>
      </c>
      <c r="E10" s="6" t="n">
        <v>97</v>
      </c>
      <c r="F10" s="6" t="n">
        <v>70.1</v>
      </c>
      <c r="G10" s="7"/>
    </row>
    <row r="11" customFormat="false" ht="15" hidden="false" customHeight="false" outlineLevel="0" collapsed="false">
      <c r="A11" s="5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5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5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5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5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5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5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5"/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5"/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5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  <c r="G22" s="6"/>
    </row>
    <row r="24" customFormat="false" ht="15" hidden="false" customHeight="false" outlineLevel="0" collapsed="false">
      <c r="A24" s="8" t="s">
        <v>12</v>
      </c>
    </row>
    <row r="25" customFormat="false" ht="15" hidden="false" customHeight="false" outlineLevel="0" collapsed="false">
      <c r="A25" s="9" t="s">
        <v>13</v>
      </c>
      <c r="B25" s="10" t="str">
        <f aca="false">ROUND(AVERAGE(B6:B22),0)&amp;"/"&amp;ROUND(AVERAGE(C6:C22),0)</f>
        <v>123/80</v>
      </c>
    </row>
    <row r="26" customFormat="false" ht="15" hidden="false" customHeight="false" outlineLevel="0" collapsed="false">
      <c r="A26" s="9" t="s">
        <v>14</v>
      </c>
      <c r="B26" s="11" t="n">
        <f aca="false">ROUND(AVERAGE(D6:D22),0)</f>
        <v>74</v>
      </c>
    </row>
    <row r="27" customFormat="false" ht="15" hidden="false" customHeight="false" outlineLevel="0" collapsed="false">
      <c r="A27" s="9" t="s">
        <v>15</v>
      </c>
      <c r="B27" s="11" t="n">
        <f aca="false">ROUND(AVERAGE(E6:E22),0)</f>
        <v>98</v>
      </c>
    </row>
    <row r="28" customFormat="false" ht="15" hidden="false" customHeight="false" outlineLevel="0" collapsed="false">
      <c r="A28" s="9" t="s">
        <v>16</v>
      </c>
      <c r="B28" s="12" t="n">
        <f aca="false">IFERROR(INDEX(F6:F22,COUNT(F6:F22))-INDEX(F6:F22,1),0)</f>
        <v>-0.400000000000006</v>
      </c>
    </row>
  </sheetData>
  <mergeCells count="3">
    <mergeCell ref="A1:H1"/>
    <mergeCell ref="A2:H2"/>
    <mergeCell ref="A3:H3"/>
  </mergeCells>
  <conditionalFormatting sqref="B6:B22">
    <cfRule type="cellIs" priority="2" operator="greaterThan" aboveAverage="0" equalAverage="0" bottom="0" percent="0" rank="0" text="" dxfId="0">
      <formula>130</formula>
    </cfRule>
  </conditionalFormatting>
  <conditionalFormatting sqref="C6:C22">
    <cfRule type="cellIs" priority="3" operator="greaterThan" aboveAverage="0" equalAverage="0" bottom="0" percent="0" rank="0" text="" dxfId="0">
      <formula>85</formula>
    </cfRule>
  </conditionalFormatting>
  <conditionalFormatting sqref="D6:D22">
    <cfRule type="cellIs" priority="4" operator="greaterThan" aboveAverage="0" equalAverage="0" bottom="0" percent="0" rank="0" text="" dxfId="1">
      <formula>100</formula>
    </cfRule>
  </conditionalFormatting>
  <conditionalFormatting sqref="E6:E22">
    <cfRule type="cellIs" priority="5" operator="greaterThan" aboveAverage="0" equalAverage="0" bottom="0" percent="0" rank="0" text="" dxfId="0">
      <formula>125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19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customFormat="false" ht="15" hidden="false" customHeight="false" outlineLevel="0" collapsed="false">
      <c r="A6" s="7" t="s">
        <v>25</v>
      </c>
      <c r="B6" s="6" t="s">
        <v>26</v>
      </c>
      <c r="C6" s="6" t="s">
        <v>27</v>
      </c>
      <c r="D6" s="6" t="s">
        <v>28</v>
      </c>
      <c r="E6" s="6" t="s">
        <v>29</v>
      </c>
    </row>
    <row r="7" customFormat="false" ht="15" hidden="false" customHeight="false" outlineLevel="0" collapsed="false">
      <c r="A7" s="7" t="s">
        <v>30</v>
      </c>
      <c r="B7" s="6" t="s">
        <v>31</v>
      </c>
      <c r="C7" s="6" t="s">
        <v>27</v>
      </c>
      <c r="D7" s="6" t="s">
        <v>32</v>
      </c>
      <c r="E7" s="6" t="s">
        <v>29</v>
      </c>
    </row>
    <row r="8" customFormat="false" ht="15" hidden="false" customHeight="false" outlineLevel="0" collapsed="false">
      <c r="A8" s="7" t="s">
        <v>30</v>
      </c>
      <c r="B8" s="6" t="s">
        <v>31</v>
      </c>
      <c r="C8" s="6" t="s">
        <v>33</v>
      </c>
      <c r="D8" s="6" t="s">
        <v>32</v>
      </c>
      <c r="E8" s="6" t="s">
        <v>34</v>
      </c>
    </row>
    <row r="9" customFormat="false" ht="15" hidden="false" customHeight="false" outlineLevel="0" collapsed="false">
      <c r="A9" s="6"/>
      <c r="B9" s="6"/>
      <c r="C9" s="6"/>
      <c r="D9" s="6"/>
      <c r="E9" s="6"/>
    </row>
    <row r="10" customFormat="false" ht="15" hidden="false" customHeight="false" outlineLevel="0" collapsed="false">
      <c r="A10" s="6"/>
      <c r="B10" s="6"/>
      <c r="C10" s="6"/>
      <c r="D10" s="6"/>
      <c r="E10" s="6"/>
    </row>
    <row r="11" customFormat="false" ht="15" hidden="false" customHeight="false" outlineLevel="0" collapsed="false">
      <c r="A11" s="6"/>
      <c r="B11" s="6"/>
      <c r="C11" s="6"/>
      <c r="D11" s="6"/>
      <c r="E11" s="6"/>
    </row>
    <row r="12" customFormat="false" ht="15" hidden="false" customHeight="false" outlineLevel="0" collapsed="false">
      <c r="A12" s="6"/>
      <c r="B12" s="6"/>
      <c r="C12" s="6"/>
      <c r="D12" s="6"/>
      <c r="E12" s="6"/>
    </row>
    <row r="13" customFormat="false" ht="15" hidden="false" customHeight="false" outlineLevel="0" collapsed="false">
      <c r="A13" s="6"/>
      <c r="B13" s="6"/>
      <c r="C13" s="6"/>
      <c r="D13" s="6"/>
      <c r="E13" s="6"/>
    </row>
    <row r="14" customFormat="false" ht="15" hidden="false" customHeight="false" outlineLevel="0" collapsed="false">
      <c r="A14" s="6"/>
      <c r="B14" s="6"/>
      <c r="C14" s="6"/>
      <c r="D14" s="6"/>
      <c r="E14" s="6"/>
    </row>
    <row r="15" customFormat="false" ht="15" hidden="false" customHeight="false" outlineLevel="0" collapsed="false">
      <c r="A15" s="6"/>
      <c r="B15" s="6"/>
      <c r="C15" s="6"/>
      <c r="D15" s="6"/>
      <c r="E15" s="6"/>
    </row>
    <row r="16" customFormat="false" ht="15" hidden="false" customHeight="false" outlineLevel="0" collapsed="false">
      <c r="A16" s="6"/>
      <c r="B16" s="6"/>
      <c r="C16" s="6"/>
      <c r="D16" s="6"/>
      <c r="E16" s="6"/>
    </row>
    <row r="18" customFormat="false" ht="15" hidden="false" customHeight="false" outlineLevel="0" collapsed="false">
      <c r="A18" s="9" t="s">
        <v>35</v>
      </c>
      <c r="B18" s="11" t="n">
        <f aca="false">COUNTIF(E6:E16,"Yes")</f>
        <v>2</v>
      </c>
    </row>
    <row r="19" customFormat="false" ht="15" hidden="false" customHeight="false" outlineLevel="0" collapsed="false">
      <c r="A19" s="9" t="s">
        <v>36</v>
      </c>
      <c r="B19" s="11" t="n">
        <f aca="false">COUNTIF(E6:E16,"No")</f>
        <v>1</v>
      </c>
    </row>
  </sheetData>
  <mergeCells count="3">
    <mergeCell ref="A1:H1"/>
    <mergeCell ref="A2:H2"/>
    <mergeCell ref="A3:H3"/>
  </mergeCells>
  <conditionalFormatting sqref="E6:E16">
    <cfRule type="expression" priority="2" aboveAverage="0" equalAverage="0" bottom="0" percent="0" rank="0" text="" dxfId="2">
      <formula>E6="Yes"</formula>
    </cfRule>
    <cfRule type="expression" priority="3" aboveAverage="0" equalAverage="0" bottom="0" percent="0" rank="0" text="" dxfId="3">
      <formula>E6="No"</formula>
    </cfRule>
  </conditionalFormatting>
  <dataValidations count="1">
    <dataValidation allowBlank="true" errorStyle="stop" operator="between" showDropDown="false" showErrorMessage="false" showInputMessage="false" sqref="E6:E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2026-08-28T09:38:53Z</dcterms:created>
  <dc:creator>openpyxl</dc:creator>
  <dc:description/>
  <dc:language>en-US</dc:language>
  <cp:lastModifiedBy/>
  <dcterms:modified xsi:type="dcterms:W3CDTF">2026-08-28T09:38:53Z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