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<sst xmlns="http://schemas.openxmlformats.org/spreadsheetml/2006/main" count="35" uniqueCount="29">
  <si>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Subscription Tracker</t>
  </si>
  <si>
    <t xml:space="preserve">Track every recurring payment. Monthly/annual totals and renewal alerts update automatically.</t>
  </si>
  <si>
    <t xml:space="preserve">Legend:  Blue text + yellow fill = cells you edit. Billing Cycle and Active are dropdowns.</t>
  </si>
  <si>
    <t xml:space="preserve">Service</t>
  </si>
  <si>
    <t xml:space="preserve">Category</t>
  </si>
  <si>
    <t xml:space="preserve">Cost</t>
  </si>
  <si>
    <t xml:space="preserve">Billing Cycle</t>
  </si>
  <si>
    <t xml:space="preserve">Renewal Date</t>
  </si>
  <si>
    <t xml:space="preserve">Days Until Renewal</t>
  </si>
  <si>
    <t xml:space="preserve">Active?</t>
  </si>
  <si>
    <t xml:space="preserve">Netflix</t>
  </si>
  <si>
    <t xml:space="preserve">Streaming</t>
  </si>
  <si>
    <t xml:space="preserve">Monthly</t>
  </si>
  <si>
    <t xml:space="preserve">Yes</t>
  </si>
  <si>
    <t xml:space="preserve">Spotify</t>
  </si>
  <si>
    <t xml:space="preserve">Music</t>
  </si>
  <si>
    <t xml:space="preserve">Adobe Creative Cloud</t>
  </si>
  <si>
    <t xml:space="preserve">Software</t>
  </si>
  <si>
    <t xml:space="preserve">Amazon Prime</t>
  </si>
  <si>
    <t xml:space="preserve">Shopping</t>
  </si>
  <si>
    <t xml:space="preserve">Yearly</t>
  </si>
  <si>
    <t xml:space="preserve">Gym Membership</t>
  </si>
  <si>
    <t xml:space="preserve">Fitness</t>
  </si>
  <si>
    <t xml:space="preserve">No</t>
  </si>
  <si>
    <t xml:space="preserve">Summary</t>
  </si>
  <si>
    <t xml:space="preserve">Active Subscriptions</t>
  </si>
  <si>
    <t xml:space="preserve">Monthly Total (Monthly-billed only)</t>
  </si>
  <si>
    <t xml:space="preserve">Estimated Annual Spend</t>
  </si>
  <si>
    <t xml:space="preserve">Renewing Within 7 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</si>
</sst>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dd\-mmm\-yyyy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4C1D95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4C1D95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9C8"/>
      </patternFill>
    </fill>
    <fill>
      <patternFill patternType="solid">
        <fgColor rgb="FF4C1D95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757575"/>
      </font>
      <fill>
        <patternFill>
          <bgColor rgb="FFE0E0E0"/>
        </patternFill>
      </fill>
    </dxf>
    <dxf>
      <fill>
        <patternFill>
          <bgColor rgb="FFFDE9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757575"/>
      <rgbColor rgb="FF9999FF"/>
      <rgbColor rgb="FF993366"/>
      <rgbColor rgb="FFFFF9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7" t="n">
        <v>649</v>
      </c>
      <c r="D6" s="6" t="s">
        <v>12</v>
      </c>
      <c r="E6" s="8" t="n">
        <v>46274</v>
      </c>
      <c r="F6" s="9" t="n">
        <f aca="true">E6-TODAY()</f>
        <v>12</v>
      </c>
      <c r="G6" s="6" t="s">
        <v>13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n">
        <v>119</v>
      </c>
      <c r="D7" s="6" t="s">
        <v>12</v>
      </c>
      <c r="E7" s="8" t="n">
        <v>46267</v>
      </c>
      <c r="F7" s="9" t="n">
        <f aca="true">E7-TODAY()</f>
        <v>5</v>
      </c>
      <c r="G7" s="6" t="s">
        <v>13</v>
      </c>
    </row>
    <row r="8" customFormat="false" ht="15" hidden="false" customHeight="false" outlineLevel="0" collapsed="false">
      <c r="A8" s="5" t="s">
        <v>16</v>
      </c>
      <c r="B8" s="6" t="s">
        <v>17</v>
      </c>
      <c r="C8" s="7" t="n">
        <v>1675</v>
      </c>
      <c r="D8" s="6" t="s">
        <v>12</v>
      </c>
      <c r="E8" s="8" t="n">
        <v>46282</v>
      </c>
      <c r="F8" s="9" t="n">
        <f aca="true">E8-TODAY()</f>
        <v>20</v>
      </c>
      <c r="G8" s="6" t="s">
        <v>13</v>
      </c>
    </row>
    <row r="9" customFormat="false" ht="15" hidden="false" customHeight="false" outlineLevel="0" collapsed="false">
      <c r="A9" s="5" t="s">
        <v>18</v>
      </c>
      <c r="B9" s="6" t="s">
        <v>19</v>
      </c>
      <c r="C9" s="7" t="n">
        <v>1499</v>
      </c>
      <c r="D9" s="6" t="s">
        <v>20</v>
      </c>
      <c r="E9" s="8" t="n">
        <v>46462</v>
      </c>
      <c r="F9" s="9" t="n">
        <f aca="true">E9-TODAY()</f>
        <v>200</v>
      </c>
      <c r="G9" s="6" t="s">
        <v>13</v>
      </c>
    </row>
    <row r="10" customFormat="false" ht="15" hidden="false" customHeight="false" outlineLevel="0" collapsed="false">
      <c r="A10" s="5" t="s">
        <v>21</v>
      </c>
      <c r="B10" s="6" t="s">
        <v>22</v>
      </c>
      <c r="C10" s="7" t="n">
        <v>1200</v>
      </c>
      <c r="D10" s="6" t="s">
        <v>12</v>
      </c>
      <c r="E10" s="8" t="n">
        <v>46260</v>
      </c>
      <c r="F10" s="9" t="n">
        <f aca="true">E10-TODAY()</f>
        <v>-2</v>
      </c>
      <c r="G10" s="6" t="s">
        <v>23</v>
      </c>
    </row>
    <row r="11" customFormat="false" ht="15" hidden="false" customHeight="false" outlineLevel="0" collapsed="false">
      <c r="A11" s="6"/>
      <c r="B11" s="6"/>
      <c r="C11" s="7"/>
      <c r="D11" s="6"/>
      <c r="E11" s="8"/>
      <c r="F11" s="9" t="str">
        <f aca="true">IF(E11="","",E11-TODAY())</f>
        <v/>
      </c>
      <c r="G11" s="6"/>
    </row>
    <row r="12" customFormat="false" ht="15" hidden="false" customHeight="false" outlineLevel="0" collapsed="false">
      <c r="A12" s="6"/>
      <c r="B12" s="6"/>
      <c r="C12" s="7"/>
      <c r="D12" s="6"/>
      <c r="E12" s="8"/>
      <c r="F12" s="9" t="str">
        <f aca="true">IF(E12="","",E12-TODAY())</f>
        <v/>
      </c>
      <c r="G12" s="6"/>
    </row>
    <row r="13" customFormat="false" ht="15" hidden="false" customHeight="false" outlineLevel="0" collapsed="false">
      <c r="A13" s="6"/>
      <c r="B13" s="6"/>
      <c r="C13" s="7"/>
      <c r="D13" s="6"/>
      <c r="E13" s="8"/>
      <c r="F13" s="9" t="str">
        <f aca="true">IF(E13="","",E13-TODAY())</f>
        <v/>
      </c>
      <c r="G13" s="6"/>
    </row>
    <row r="14" customFormat="false" ht="15" hidden="false" customHeight="false" outlineLevel="0" collapsed="false">
      <c r="A14" s="6"/>
      <c r="B14" s="6"/>
      <c r="C14" s="7"/>
      <c r="D14" s="6"/>
      <c r="E14" s="8"/>
      <c r="F14" s="9" t="str">
        <f aca="true">IF(E14="","",E14-TODAY())</f>
        <v/>
      </c>
      <c r="G14" s="6"/>
    </row>
    <row r="15" customFormat="false" ht="15" hidden="false" customHeight="false" outlineLevel="0" collapsed="false">
      <c r="A15" s="6"/>
      <c r="B15" s="6"/>
      <c r="C15" s="7"/>
      <c r="D15" s="6"/>
      <c r="E15" s="8"/>
      <c r="F15" s="9" t="str">
        <f aca="true">IF(E15="","",E15-TODAY())</f>
        <v/>
      </c>
      <c r="G15" s="6"/>
    </row>
    <row r="16" customFormat="false" ht="15" hidden="false" customHeight="false" outlineLevel="0" collapsed="false">
      <c r="A16" s="6"/>
      <c r="B16" s="6"/>
      <c r="C16" s="7"/>
      <c r="D16" s="6"/>
      <c r="E16" s="8"/>
      <c r="F16" s="9" t="str">
        <f aca="true">IF(E16="","",E16-TODAY())</f>
        <v/>
      </c>
      <c r="G16" s="6"/>
    </row>
    <row r="17" customFormat="false" ht="15" hidden="false" customHeight="false" outlineLevel="0" collapsed="false">
      <c r="A17" s="6"/>
      <c r="B17" s="6"/>
      <c r="C17" s="7"/>
      <c r="D17" s="6"/>
      <c r="E17" s="8"/>
      <c r="F17" s="9" t="str">
        <f aca="true">IF(E17="","",E17-TODAY())</f>
        <v/>
      </c>
      <c r="G17" s="6"/>
    </row>
    <row r="18" customFormat="false" ht="15" hidden="false" customHeight="false" outlineLevel="0" collapsed="false">
      <c r="A18" s="6"/>
      <c r="B18" s="6"/>
      <c r="C18" s="7"/>
      <c r="D18" s="6"/>
      <c r="E18" s="8"/>
      <c r="F18" s="9" t="str">
        <f aca="true">IF(E18="","",E18-TODAY())</f>
        <v/>
      </c>
      <c r="G18" s="6"/>
    </row>
    <row r="19" customFormat="false" ht="15" hidden="false" customHeight="false" outlineLevel="0" collapsed="false">
      <c r="A19" s="6"/>
      <c r="B19" s="6"/>
      <c r="C19" s="7"/>
      <c r="D19" s="6"/>
      <c r="E19" s="8"/>
      <c r="F19" s="9" t="str">
        <f aca="true">IF(E19="","",E19-TODAY())</f>
        <v/>
      </c>
      <c r="G19" s="6"/>
    </row>
    <row r="20" customFormat="false" ht="15" hidden="false" customHeight="false" outlineLevel="0" collapsed="false">
      <c r="A20" s="6"/>
      <c r="B20" s="6"/>
      <c r="C20" s="7"/>
      <c r="D20" s="6"/>
      <c r="E20" s="8"/>
      <c r="F20" s="9" t="str">
        <f aca="true">IF(E20="","",E20-TODAY())</f>
        <v/>
      </c>
      <c r="G20" s="6"/>
    </row>
    <row r="22" customFormat="false" ht="15" hidden="false" customHeight="false" outlineLevel="0" collapsed="false">
      <c r="A22" s="10" t="s">
        <v>24</v>
      </c>
    </row>
    <row r="23" customFormat="false" ht="15" hidden="false" customHeight="false" outlineLevel="0" collapsed="false">
      <c r="A23" s="11" t="s">
        <v>25</v>
      </c>
      <c r="B23" s="9" t="n">
        <f aca="false">COUNTIF(G6:G20,"Yes")</f>
        <v>4</v>
      </c>
    </row>
    <row r="24" customFormat="false" ht="15" hidden="false" customHeight="false" outlineLevel="0" collapsed="false">
      <c r="A24" s="11" t="s">
        <v>26</v>
      </c>
      <c r="B24" s="12" t="n">
        <f aca="false">SUMIFS(C6:C20,D6:D20,"Monthly",G6:G20,"Yes")</f>
        <v>2443</v>
      </c>
    </row>
    <row r="25" customFormat="false" ht="15" hidden="false" customHeight="false" outlineLevel="0" collapsed="false">
      <c r="A25" s="11" t="s">
        <v>27</v>
      </c>
      <c r="B25" s="12" t="n">
        <f aca="false">SUMIFS(C6:C20,D6:D20,"Monthly",G6:G20,"Yes")*12+SUMIFS(C6:C20,D6:D20,"Yearly",G6:G20,"Yes")+SUMIFS(C6:C20,D6:D20,"Weekly",G6:G20,"Yes")*52</f>
        <v>30815</v>
      </c>
    </row>
    <row r="26" customFormat="false" ht="15" hidden="false" customHeight="false" outlineLevel="0" collapsed="false">
      <c r="A26" s="11" t="s">
        <v>28</v>
      </c>
      <c r="B26" s="9" t="n">
        <f aca="false">SUMPRODUCT((F6:F20&lt;&gt;"")*(F6:F20&lt;=7)*(F6:F20&gt;=0)*(G6:G20="Yes"))</f>
        <v>1</v>
      </c>
    </row>
  </sheetData>
  <mergeCells count="3">
    <mergeCell ref="A1:H1"/>
    <mergeCell ref="A2:H2"/>
    <mergeCell ref="A3:H3"/>
  </mergeCells>
  <conditionalFormatting sqref="G6:G20">
    <cfRule type="expression" priority="2" aboveAverage="0" equalAverage="0" bottom="0" percent="0" rank="0" text="" dxfId="0">
      <formula>G6="No"</formula>
    </cfRule>
  </conditionalFormatting>
  <conditionalFormatting sqref="F6:F20">
    <cfRule type="cellIs" priority="3" operator="lessThanOrEqual" aboveAverage="0" equalAverage="0" bottom="0" percent="0" rank="0" text="" dxfId="1">
      <formula>7</formula>
    </cfRule>
  </conditionalFormatting>
  <dataValidations count="2">
    <dataValidation allowBlank="true" errorStyle="stop" operator="between" showDropDown="false" showErrorMessage="false" showInputMessage="false" sqref="D6:D20" type="list">
      <formula1>"Monthly,Yearly,Weekly"</formula1>
      <formula2>0</formula2>
    </dataValidation>
    <dataValidation allowBlank="true" errorStyle="stop" operator="between" showDropDown="false" showErrorMessage="false" showInputMessage="false" sqref="G6:G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2026-08-28T09:43:44Z</dcterms:created>
  <dc:creator>openpyxl</dc:creator>
  <dc:description/>
  <dc:language>en-US</dc:language>
  <cp:lastModifiedBy/>
  <dcterms:modified xsi:type="dcterms:W3CDTF">2026-08-28T09:43:44Z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