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<sst xmlns="http://schemas.openxmlformats.org/spreadsheetml/2006/main" count="19" uniqueCount="19">
  <si>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Event / Wedding Budget Planner</t>
  </si>
  <si>
    <t xml:space="preserve">Track budgeted vs actual vs paid for every category — balance due updates automatically.</t>
  </si>
  <si>
    <t xml:space="preserve">Legend:  Blue text + yellow fill = cells you edit (Budgeted, Actual Cost, Paid So Far).</t>
  </si>
  <si>
    <t xml:space="preserve">Category</t>
  </si>
  <si>
    <t xml:space="preserve">Budgeted</t>
  </si>
  <si>
    <t xml:space="preserve">Actual Cost</t>
  </si>
  <si>
    <t xml:space="preserve">Paid So Far</t>
  </si>
  <si>
    <t xml:space="preserve">Balance Due</t>
  </si>
  <si>
    <t xml:space="preserve">% Paid</t>
  </si>
  <si>
    <t xml:space="preserve">Venue</t>
  </si>
  <si>
    <t xml:space="preserve">Catering</t>
  </si>
  <si>
    <t xml:space="preserve">Photography &amp; Video</t>
  </si>
  <si>
    <t xml:space="preserve">Attire</t>
  </si>
  <si>
    <t xml:space="preserve">Decor &amp; Flowers</t>
  </si>
  <si>
    <t xml:space="preserve">Entertainment / DJ</t>
  </si>
  <si>
    <t xml:space="preserve">Invitations</t>
  </si>
  <si>
    <t xml:space="preserve">Miscellaneous</t>
  </si>
  <si>
    <t xml:space="preserve">Total</t>
  </si>
  <si>
    <t xml:space="preserve">Over/Under Budget (Actual vs Budgeted)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</si>
</sst>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9D174D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9D174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DE9C8"/>
      </patternFill>
    </fill>
    <fill>
      <patternFill patternType="solid">
        <fgColor rgb="FF9D174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DE9C8"/>
        </patternFill>
      </fill>
    </dxf>
    <dxf>
      <fill>
        <patternFill>
          <bgColor rgb="FFF8C7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D174D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C8"/>
      <rgbColor rgb="FF99CCFF"/>
      <rgbColor rgb="FFFF99CC"/>
      <rgbColor rgb="FFCC99FF"/>
      <rgbColor rgb="FFF8C7C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4"/>
    <col collapsed="false" customWidth="true" hidden="false" outlineLevel="0" max="6" min="6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n">
        <v>300000</v>
      </c>
      <c r="C6" s="6" t="n">
        <v>300000</v>
      </c>
      <c r="D6" s="6" t="n">
        <v>150000</v>
      </c>
      <c r="E6" s="7" t="n">
        <f aca="false">C6-D6</f>
        <v>150000</v>
      </c>
      <c r="F6" s="8" t="n">
        <f aca="false">IFERROR(D6/C6,0)</f>
        <v>0.5</v>
      </c>
    </row>
    <row r="7" customFormat="false" ht="15" hidden="false" customHeight="false" outlineLevel="0" collapsed="false">
      <c r="A7" s="5" t="s">
        <v>10</v>
      </c>
      <c r="B7" s="6" t="n">
        <v>250000</v>
      </c>
      <c r="C7" s="6" t="n">
        <v>265000</v>
      </c>
      <c r="D7" s="6" t="n">
        <v>100000</v>
      </c>
      <c r="E7" s="7" t="n">
        <f aca="false">C7-D7</f>
        <v>165000</v>
      </c>
      <c r="F7" s="8" t="n">
        <f aca="false">IFERROR(D7/C7,0)</f>
        <v>0.377358490566038</v>
      </c>
    </row>
    <row r="8" customFormat="false" ht="15" hidden="false" customHeight="false" outlineLevel="0" collapsed="false">
      <c r="A8" s="5" t="s">
        <v>11</v>
      </c>
      <c r="B8" s="6" t="n">
        <v>80000</v>
      </c>
      <c r="C8" s="6" t="n">
        <v>80000</v>
      </c>
      <c r="D8" s="6" t="n">
        <v>40000</v>
      </c>
      <c r="E8" s="7" t="n">
        <f aca="false">C8-D8</f>
        <v>40000</v>
      </c>
      <c r="F8" s="8" t="n">
        <f aca="false">IFERROR(D8/C8,0)</f>
        <v>0.5</v>
      </c>
    </row>
    <row r="9" customFormat="false" ht="15" hidden="false" customHeight="false" outlineLevel="0" collapsed="false">
      <c r="A9" s="5" t="s">
        <v>12</v>
      </c>
      <c r="B9" s="6" t="n">
        <v>60000</v>
      </c>
      <c r="C9" s="6" t="n">
        <v>55000</v>
      </c>
      <c r="D9" s="6" t="n">
        <v>55000</v>
      </c>
      <c r="E9" s="7" t="n">
        <f aca="false">C9-D9</f>
        <v>0</v>
      </c>
      <c r="F9" s="8" t="n">
        <f aca="false">IFERROR(D9/C9,0)</f>
        <v>1</v>
      </c>
    </row>
    <row r="10" customFormat="false" ht="15" hidden="false" customHeight="false" outlineLevel="0" collapsed="false">
      <c r="A10" s="5" t="s">
        <v>13</v>
      </c>
      <c r="B10" s="6" t="n">
        <v>70000</v>
      </c>
      <c r="C10" s="6" t="n">
        <v>72000</v>
      </c>
      <c r="D10" s="6" t="n">
        <v>30000</v>
      </c>
      <c r="E10" s="7" t="n">
        <f aca="false">C10-D10</f>
        <v>42000</v>
      </c>
      <c r="F10" s="8" t="n">
        <f aca="false">IFERROR(D10/C10,0)</f>
        <v>0.416666666666667</v>
      </c>
    </row>
    <row r="11" customFormat="false" ht="15" hidden="false" customHeight="false" outlineLevel="0" collapsed="false">
      <c r="A11" s="5" t="s">
        <v>14</v>
      </c>
      <c r="B11" s="6" t="n">
        <v>40000</v>
      </c>
      <c r="C11" s="6" t="n">
        <v>38000</v>
      </c>
      <c r="D11" s="6" t="n">
        <v>20000</v>
      </c>
      <c r="E11" s="7" t="n">
        <f aca="false">C11-D11</f>
        <v>18000</v>
      </c>
      <c r="F11" s="8" t="n">
        <f aca="false">IFERROR(D11/C11,0)</f>
        <v>0.526315789473684</v>
      </c>
    </row>
    <row r="12" customFormat="false" ht="15" hidden="false" customHeight="false" outlineLevel="0" collapsed="false">
      <c r="A12" s="5" t="s">
        <v>15</v>
      </c>
      <c r="B12" s="6" t="n">
        <v>15000</v>
      </c>
      <c r="C12" s="6" t="n">
        <v>14000</v>
      </c>
      <c r="D12" s="6" t="n">
        <v>14000</v>
      </c>
      <c r="E12" s="7" t="n">
        <f aca="false">C12-D12</f>
        <v>0</v>
      </c>
      <c r="F12" s="8" t="n">
        <f aca="false">IFERROR(D12/C12,0)</f>
        <v>1</v>
      </c>
    </row>
    <row r="13" customFormat="false" ht="15" hidden="false" customHeight="false" outlineLevel="0" collapsed="false">
      <c r="A13" s="5" t="s">
        <v>16</v>
      </c>
      <c r="B13" s="6" t="n">
        <v>25000</v>
      </c>
      <c r="C13" s="6" t="n">
        <v>18000</v>
      </c>
      <c r="D13" s="6" t="n">
        <v>5000</v>
      </c>
      <c r="E13" s="7" t="n">
        <f aca="false">C13-D13</f>
        <v>13000</v>
      </c>
      <c r="F13" s="8" t="n">
        <f aca="false">IFERROR(D13/C13,0)</f>
        <v>0.277777777777778</v>
      </c>
    </row>
    <row r="14" customFormat="false" ht="15" hidden="false" customHeight="false" outlineLevel="0" collapsed="false">
      <c r="A14" s="9" t="s">
        <v>17</v>
      </c>
      <c r="B14" s="10" t="n">
        <f aca="false">SUM(B6:B13)</f>
        <v>840000</v>
      </c>
      <c r="C14" s="10" t="n">
        <f aca="false">SUM(C6:C13)</f>
        <v>842000</v>
      </c>
      <c r="D14" s="10" t="n">
        <f aca="false">SUM(D6:D13)</f>
        <v>414000</v>
      </c>
      <c r="E14" s="10" t="n">
        <f aca="false">SUM(E6:E13)</f>
        <v>428000</v>
      </c>
      <c r="F14" s="11" t="n">
        <f aca="false">IFERROR(D14/C14,0)</f>
        <v>0.491686460807601</v>
      </c>
    </row>
    <row r="16" customFormat="false" ht="15" hidden="false" customHeight="false" outlineLevel="0" collapsed="false">
      <c r="A16" s="12" t="s">
        <v>18</v>
      </c>
      <c r="B16" s="10" t="n">
        <f aca="false">B14-C14</f>
        <v>-2000</v>
      </c>
    </row>
  </sheetData>
  <mergeCells count="3">
    <mergeCell ref="A1:H1"/>
    <mergeCell ref="A2:H2"/>
    <mergeCell ref="A3:F3"/>
  </mergeCells>
  <conditionalFormatting sqref="E6:E14">
    <cfRule type="cellIs" priority="2" operator="greaterThan" aboveAverage="0" equalAverage="0" bottom="0" percent="0" rank="0" text="" dxfId="0">
      <formula>0</formula>
    </cfRule>
  </conditionalFormatting>
  <conditionalFormatting sqref="C6:C13">
    <cfRule type="cellIs" priority="3" operator="greaterThan" aboveAverage="0" equalAverage="0" bottom="0" percent="0" rank="0" text="" dxfId="1">
      <formula>B6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2026-08-28T09:44:27Z</dcterms:created>
  <dc:creator>openpyxl</dc:creator>
  <dc:description/>
  <dc:language>en-US</dc:language>
  <cp:lastModifiedBy/>
  <dcterms:modified xsi:type="dcterms:W3CDTF">2026-08-28T09:44:27Z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