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<sst xmlns="http://schemas.openxmlformats.org/spreadsheetml/2006/main" count="32" uniqueCount="20">
  <si>
    <t xml:space="preserve">Student Grade Tracker</t>
  </si>
  <si>
    <t xml:space="preserve">Enter scores and weights per assessment — weighted average and letter grade calculate automatically.</t>
  </si>
  <si>
    <t xml:space="preserve">Legend:  Blue text + yellow fill = cells you edit (Score &amp; Weight). Weight is that assessment's share of the subject total, e.g. 20 = 20%.</t>
  </si>
  <si>
    <t xml:space="preserve">Subject</t>
  </si>
  <si>
    <t xml:space="preserve">Assessment</t>
  </si>
  <si>
    <t xml:space="preserve">Score (%)</t>
  </si>
  <si>
    <t xml:space="preserve">Weight (%)</t>
  </si>
  <si>
    <t xml:space="preserve">Weighted Score</t>
  </si>
  <si>
    <t xml:space="preserve">Mathematics</t>
  </si>
  <si>
    <t xml:space="preserve">Midterm</t>
  </si>
  <si>
    <t xml:space="preserve">Final Exam</t>
  </si>
  <si>
    <t xml:space="preserve">Assignments</t>
  </si>
  <si>
    <t xml:space="preserve">Statistics</t>
  </si>
  <si>
    <t xml:space="preserve">Data Visualization</t>
  </si>
  <si>
    <t xml:space="preserve">Project</t>
  </si>
  <si>
    <t xml:space="preserve">Quiz</t>
  </si>
  <si>
    <t xml:space="preserve">Subject Summary</t>
  </si>
  <si>
    <t xml:space="preserve">Weighted Average</t>
  </si>
  <si>
    <t xml:space="preserve">Letter Grade</t>
  </si>
  <si>
    <t xml:space="preserve">Overall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</si>
</sst>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563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E563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E5631"/>
        <bgColor rgb="FF333300"/>
      </patternFill>
    </fill>
    <fill>
      <patternFill patternType="solid">
        <fgColor rgb="FF0B3D9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7C7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7C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n">
        <v>78</v>
      </c>
      <c r="D6" s="7" t="n">
        <v>30</v>
      </c>
      <c r="E6" s="8" t="n">
        <f aca="false">C6*D6/100</f>
        <v>23.4</v>
      </c>
    </row>
    <row r="7" customFormat="false" ht="15" hidden="false" customHeight="false" outlineLevel="0" collapsed="false">
      <c r="A7" s="5" t="s">
        <v>8</v>
      </c>
      <c r="B7" s="6" t="s">
        <v>10</v>
      </c>
      <c r="C7" s="7" t="n">
        <v>85</v>
      </c>
      <c r="D7" s="7" t="n">
        <v>50</v>
      </c>
      <c r="E7" s="8" t="n">
        <f aca="false">C7*D7/100</f>
        <v>42.5</v>
      </c>
    </row>
    <row r="8" customFormat="false" ht="15" hidden="false" customHeight="false" outlineLevel="0" collapsed="false">
      <c r="A8" s="5" t="s">
        <v>8</v>
      </c>
      <c r="B8" s="6" t="s">
        <v>11</v>
      </c>
      <c r="C8" s="7" t="n">
        <v>92</v>
      </c>
      <c r="D8" s="7" t="n">
        <v>20</v>
      </c>
      <c r="E8" s="8" t="n">
        <f aca="false">C8*D8/100</f>
        <v>18.4</v>
      </c>
    </row>
    <row r="9" customFormat="false" ht="15" hidden="false" customHeight="false" outlineLevel="0" collapsed="false">
      <c r="A9" s="5" t="s">
        <v>12</v>
      </c>
      <c r="B9" s="6" t="s">
        <v>9</v>
      </c>
      <c r="C9" s="7" t="n">
        <v>88</v>
      </c>
      <c r="D9" s="7" t="n">
        <v>30</v>
      </c>
      <c r="E9" s="8" t="n">
        <f aca="false">C9*D9/100</f>
        <v>26.4</v>
      </c>
    </row>
    <row r="10" customFormat="false" ht="15" hidden="false" customHeight="false" outlineLevel="0" collapsed="false">
      <c r="A10" s="5" t="s">
        <v>12</v>
      </c>
      <c r="B10" s="6" t="s">
        <v>10</v>
      </c>
      <c r="C10" s="7" t="n">
        <v>91</v>
      </c>
      <c r="D10" s="7" t="n">
        <v>50</v>
      </c>
      <c r="E10" s="8" t="n">
        <f aca="false">C10*D10/100</f>
        <v>45.5</v>
      </c>
    </row>
    <row r="11" customFormat="false" ht="15" hidden="false" customHeight="false" outlineLevel="0" collapsed="false">
      <c r="A11" s="5" t="s">
        <v>12</v>
      </c>
      <c r="B11" s="6" t="s">
        <v>11</v>
      </c>
      <c r="C11" s="7" t="n">
        <v>95</v>
      </c>
      <c r="D11" s="7" t="n">
        <v>20</v>
      </c>
      <c r="E11" s="8" t="n">
        <f aca="false">C11*D11/100</f>
        <v>19</v>
      </c>
    </row>
    <row r="12" customFormat="false" ht="15" hidden="false" customHeight="false" outlineLevel="0" collapsed="false">
      <c r="A12" s="5" t="s">
        <v>13</v>
      </c>
      <c r="B12" s="6" t="s">
        <v>14</v>
      </c>
      <c r="C12" s="7" t="n">
        <v>90</v>
      </c>
      <c r="D12" s="7" t="n">
        <v>60</v>
      </c>
      <c r="E12" s="8" t="n">
        <f aca="false">C12*D12/100</f>
        <v>54</v>
      </c>
    </row>
    <row r="13" customFormat="false" ht="15" hidden="false" customHeight="false" outlineLevel="0" collapsed="false">
      <c r="A13" s="5" t="s">
        <v>13</v>
      </c>
      <c r="B13" s="6" t="s">
        <v>15</v>
      </c>
      <c r="C13" s="7" t="n">
        <v>82</v>
      </c>
      <c r="D13" s="7" t="n">
        <v>40</v>
      </c>
      <c r="E13" s="8" t="n">
        <f aca="false">C13*D13/100</f>
        <v>32.8</v>
      </c>
    </row>
    <row r="14" customFormat="false" ht="15" hidden="false" customHeight="false" outlineLevel="0" collapsed="false">
      <c r="A14" s="9" t="s">
        <v>16</v>
      </c>
    </row>
    <row r="15" customFormat="false" ht="21.75" hidden="false" customHeight="true" outlineLevel="0" collapsed="false">
      <c r="A15" s="10" t="s">
        <v>3</v>
      </c>
      <c r="B15" s="10" t="s">
        <v>17</v>
      </c>
      <c r="C15" s="10" t="s">
        <v>18</v>
      </c>
    </row>
    <row r="16" customFormat="false" ht="15" hidden="false" customHeight="false" outlineLevel="0" collapsed="false">
      <c r="A16" s="5" t="s">
        <v>8</v>
      </c>
      <c r="B16" s="8" t="n">
        <f aca="false">SUMIF($A$6:$A$13,A16,$E$6:$E$13)/SUMIF($A$6:$A$13,A16,$D$6:$D$13)*100</f>
        <v>84.3</v>
      </c>
      <c r="C16" s="11" t="str">
        <f aca="false">IF(B16&gt;=90,"A",IF(B16&gt;=80,"B",IF(B16&gt;=70,"C",IF(B16&gt;=60,"D","F"))))</f>
        <v>B</v>
      </c>
    </row>
    <row r="17" customFormat="false" ht="15" hidden="false" customHeight="false" outlineLevel="0" collapsed="false">
      <c r="A17" s="5" t="s">
        <v>12</v>
      </c>
      <c r="B17" s="8" t="n">
        <f aca="false">SUMIF($A$6:$A$13,A17,$E$6:$E$13)/SUMIF($A$6:$A$13,A17,$D$6:$D$13)*100</f>
        <v>90.9</v>
      </c>
      <c r="C17" s="11" t="str">
        <f aca="false">IF(B17&gt;=90,"A",IF(B17&gt;=80,"B",IF(B17&gt;=70,"C",IF(B17&gt;=60,"D","F"))))</f>
        <v>A</v>
      </c>
    </row>
    <row r="18" customFormat="false" ht="15" hidden="false" customHeight="false" outlineLevel="0" collapsed="false">
      <c r="A18" s="5" t="s">
        <v>13</v>
      </c>
      <c r="B18" s="8" t="n">
        <f aca="false">SUMIF($A$6:$A$13,A18,$E$6:$E$13)/SUMIF($A$6:$A$13,A18,$D$6:$D$13)*100</f>
        <v>86.8</v>
      </c>
      <c r="C18" s="11" t="str">
        <f aca="false">IF(B18&gt;=90,"A",IF(B18&gt;=80,"B",IF(B18&gt;=70,"C",IF(B18&gt;=60,"D","F"))))</f>
        <v>B</v>
      </c>
    </row>
    <row r="19" customFormat="false" ht="15" hidden="false" customHeight="false" outlineLevel="0" collapsed="false">
      <c r="A19" s="12" t="s">
        <v>19</v>
      </c>
      <c r="B19" s="13" t="n">
        <f aca="false">AVERAGE(B16:B18)</f>
        <v>87.3333333333333</v>
      </c>
    </row>
  </sheetData>
  <mergeCells count="3">
    <mergeCell ref="A1:H1"/>
    <mergeCell ref="A2:H2"/>
    <mergeCell ref="A3:H3"/>
  </mergeCells>
  <conditionalFormatting sqref="C16:C18">
    <cfRule type="cellIs" priority="2" operator="equal" aboveAverage="0" equalAverage="0" bottom="0" percent="0" rank="0" text="" dxfId="0">
      <formula>"F"</formula>
    </cfRule>
    <cfRule type="cellIs" priority="3" operator="equal" aboveAverage="0" equalAverage="0" bottom="0" percent="0" rank="0" text="" dxfId="1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2026-08-28T09:39:40Z</dcterms:created>
  <dc:creator>openpyxl</dc:creator>
  <dc:description/>
  <dc:language>en-US</dc:language>
  <cp:lastModifiedBy/>
  <dcterms:modified xsi:type="dcterms:W3CDTF">2026-08-28T09:39:40Z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