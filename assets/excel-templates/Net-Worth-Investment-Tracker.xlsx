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 Worth" sheetId="1" state="visible" r:id="rId3"/>
    <sheet name="Invest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<sst xmlns="http://schemas.openxmlformats.org/spreadsheetml/2006/main" count="37" uniqueCount="34">
  <si>
    <t xml:space="preserve">Net Worth Tracker</t>
  </si>
  <si>
    <t xml:space="preserve">List your assets and liabilities — net worth calculates automatically. Portfolio detail is on the Investments tab.</t>
  </si>
  <si>
    <t xml:space="preserve">Legend:  Blue text + yellow fill = cells you edit.</t>
  </si>
  <si>
    <t xml:space="preserve">ASSETS</t>
  </si>
  <si>
    <t xml:space="preserve">Item</t>
  </si>
  <si>
    <t xml:space="preserve">Value</t>
  </si>
  <si>
    <t xml:space="preserve">Cash / Bank Balance</t>
  </si>
  <si>
    <t xml:space="preserve">Investments (stocks, MF)</t>
  </si>
  <si>
    <t xml:space="preserve">Property</t>
  </si>
  <si>
    <t xml:space="preserve">Vehicle</t>
  </si>
  <si>
    <t xml:space="preserve">Other</t>
  </si>
  <si>
    <t xml:space="preserve">Total Assets</t>
  </si>
  <si>
    <t xml:space="preserve">LIABILITIES</t>
  </si>
  <si>
    <t xml:space="preserve">Home Loan Balance</t>
  </si>
  <si>
    <t xml:space="preserve">Car Loan Balance</t>
  </si>
  <si>
    <t xml:space="preserve">Credit Card Debt</t>
  </si>
  <si>
    <t xml:space="preserve">Total Liabilities</t>
  </si>
  <si>
    <t xml:space="preserve">NET WORTH</t>
  </si>
  <si>
    <t xml:space="preserve">Investment Portfolio</t>
  </si>
  <si>
    <t xml:space="preserve">Enter buy price and current price — gain/loss updates automatically.</t>
  </si>
  <si>
    <t xml:space="preserve">Legend:  Blue text + yellow fill = cells you edit (Quantity, Buy Price, Current Price).</t>
  </si>
  <si>
    <t xml:space="preserve">Holding</t>
  </si>
  <si>
    <t xml:space="preserve">Quantity</t>
  </si>
  <si>
    <t xml:space="preserve">Buy Price</t>
  </si>
  <si>
    <t xml:space="preserve">Current Price</t>
  </si>
  <si>
    <t xml:space="preserve">Invested</t>
  </si>
  <si>
    <t xml:space="preserve">Current Value</t>
  </si>
  <si>
    <t xml:space="preserve">Gain/Loss</t>
  </si>
  <si>
    <t xml:space="preserve">Gain/Loss %</t>
  </si>
  <si>
    <t xml:space="preserve">NIFTY 50 Index Fund</t>
  </si>
  <si>
    <t xml:space="preserve">HDFC Bank</t>
  </si>
  <si>
    <t xml:space="preserve">Infosys</t>
  </si>
  <si>
    <t xml:space="preserve">Gold ETF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</si>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</sst>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\₹#,##0.0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433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40403F"/>
      <name val="Arial"/>
      <family val="0"/>
      <charset val="1"/>
    </font>
    <font>
      <b val="true"/>
      <sz val="13"/>
      <color rgb="FF1B4332"/>
      <name val="Arial"/>
      <family val="0"/>
      <charset val="1"/>
    </font>
    <font>
      <b val="true"/>
      <sz val="14"/>
      <color rgb="FF1B4332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B4332"/>
        <bgColor rgb="FF40403F"/>
      </patternFill>
    </fill>
    <fill>
      <patternFill patternType="solid">
        <fgColor rgb="FF40403F"/>
        <bgColor rgb="FF1B4332"/>
      </patternFill>
    </fill>
    <fill>
      <patternFill patternType="solid">
        <fgColor rgb="FFD8F0DB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7C7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D8F0D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B4332"/>
      <rgbColor rgb="FF993300"/>
      <rgbColor rgb="FF993366"/>
      <rgbColor rgb="FF333399"/>
      <rgbColor rgb="FF4040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7" t="n">
        <v>150000</v>
      </c>
    </row>
    <row r="8" customFormat="false" ht="15" hidden="false" customHeight="false" outlineLevel="0" collapsed="false">
      <c r="A8" s="6" t="s">
        <v>7</v>
      </c>
      <c r="B8" s="7" t="n">
        <v>320000</v>
      </c>
    </row>
    <row r="9" customFormat="false" ht="15" hidden="false" customHeight="false" outlineLevel="0" collapsed="false">
      <c r="A9" s="6" t="s">
        <v>8</v>
      </c>
      <c r="B9" s="7" t="n">
        <v>2500000</v>
      </c>
    </row>
    <row r="10" customFormat="false" ht="15" hidden="false" customHeight="false" outlineLevel="0" collapsed="false">
      <c r="A10" s="6" t="s">
        <v>9</v>
      </c>
      <c r="B10" s="7" t="n">
        <v>400000</v>
      </c>
    </row>
    <row r="11" customFormat="false" ht="15" hidden="false" customHeight="false" outlineLevel="0" collapsed="false">
      <c r="A11" s="6" t="s">
        <v>10</v>
      </c>
      <c r="B11" s="7" t="n">
        <v>50000</v>
      </c>
    </row>
    <row r="12" customFormat="false" ht="15" hidden="false" customHeight="false" outlineLevel="0" collapsed="false">
      <c r="A12" s="8" t="s">
        <v>11</v>
      </c>
      <c r="B12" s="9" t="n">
        <f aca="false">SUM(B7:B11)</f>
        <v>3420000</v>
      </c>
    </row>
    <row r="13" customFormat="false" ht="15" hidden="false" customHeight="false" outlineLevel="0" collapsed="false">
      <c r="A13" s="10" t="s">
        <v>12</v>
      </c>
    </row>
    <row r="14" customFormat="false" ht="21.75" hidden="false" customHeight="true" outlineLevel="0" collapsed="false">
      <c r="A14" s="11" t="s">
        <v>4</v>
      </c>
      <c r="B14" s="11" t="s">
        <v>5</v>
      </c>
    </row>
    <row r="15" customFormat="false" ht="15" hidden="false" customHeight="false" outlineLevel="0" collapsed="false">
      <c r="A15" s="6" t="s">
        <v>13</v>
      </c>
      <c r="B15" s="7" t="n">
        <v>1800000</v>
      </c>
    </row>
    <row r="16" customFormat="false" ht="15" hidden="false" customHeight="false" outlineLevel="0" collapsed="false">
      <c r="A16" s="6" t="s">
        <v>14</v>
      </c>
      <c r="B16" s="7" t="n">
        <v>250000</v>
      </c>
    </row>
    <row r="17" customFormat="false" ht="15" hidden="false" customHeight="false" outlineLevel="0" collapsed="false">
      <c r="A17" s="6" t="s">
        <v>15</v>
      </c>
      <c r="B17" s="7" t="n">
        <v>15000</v>
      </c>
    </row>
    <row r="18" customFormat="false" ht="15" hidden="false" customHeight="false" outlineLevel="0" collapsed="false">
      <c r="A18" s="6" t="s">
        <v>10</v>
      </c>
      <c r="B18" s="7" t="n">
        <v>0</v>
      </c>
    </row>
    <row r="19" customFormat="false" ht="15" hidden="false" customHeight="false" outlineLevel="0" collapsed="false">
      <c r="A19" s="8" t="s">
        <v>16</v>
      </c>
      <c r="B19" s="9" t="n">
        <f aca="false">SUM(B15:B18)</f>
        <v>2065000</v>
      </c>
    </row>
    <row r="21" customFormat="false" ht="17.35" hidden="false" customHeight="false" outlineLevel="0" collapsed="false">
      <c r="A21" s="12" t="s">
        <v>17</v>
      </c>
      <c r="B21" s="13" t="n">
        <f aca="false">B12-B19</f>
        <v>1355000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31.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20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</row>
    <row r="6" customFormat="false" ht="15" hidden="false" customHeight="false" outlineLevel="0" collapsed="false">
      <c r="A6" s="14" t="s">
        <v>29</v>
      </c>
      <c r="B6" s="15" t="n">
        <v>500</v>
      </c>
      <c r="C6" s="16" t="n">
        <v>180</v>
      </c>
      <c r="D6" s="16" t="n">
        <v>205</v>
      </c>
      <c r="E6" s="17" t="n">
        <f aca="false">B6*C6</f>
        <v>90000</v>
      </c>
      <c r="F6" s="17" t="n">
        <f aca="false">B6*D6</f>
        <v>102500</v>
      </c>
      <c r="G6" s="17" t="n">
        <f aca="false">F6-E6</f>
        <v>12500</v>
      </c>
      <c r="H6" s="18" t="n">
        <f aca="false">IFERROR(G6/E6,0)</f>
        <v>0.138888888888889</v>
      </c>
    </row>
    <row r="7" customFormat="false" ht="15" hidden="false" customHeight="false" outlineLevel="0" collapsed="false">
      <c r="A7" s="14" t="s">
        <v>30</v>
      </c>
      <c r="B7" s="15" t="n">
        <v>20</v>
      </c>
      <c r="C7" s="16" t="n">
        <v>1550</v>
      </c>
      <c r="D7" s="16" t="n">
        <v>1690</v>
      </c>
      <c r="E7" s="17" t="n">
        <f aca="false">B7*C7</f>
        <v>31000</v>
      </c>
      <c r="F7" s="17" t="n">
        <f aca="false">B7*D7</f>
        <v>33800</v>
      </c>
      <c r="G7" s="17" t="n">
        <f aca="false">F7-E7</f>
        <v>2800</v>
      </c>
      <c r="H7" s="18" t="n">
        <f aca="false">IFERROR(G7/E7,0)</f>
        <v>0.0903225806451613</v>
      </c>
    </row>
    <row r="8" customFormat="false" ht="15" hidden="false" customHeight="false" outlineLevel="0" collapsed="false">
      <c r="A8" s="14" t="s">
        <v>31</v>
      </c>
      <c r="B8" s="15" t="n">
        <v>15</v>
      </c>
      <c r="C8" s="16" t="n">
        <v>1420</v>
      </c>
      <c r="D8" s="16" t="n">
        <v>1380</v>
      </c>
      <c r="E8" s="17" t="n">
        <f aca="false">B8*C8</f>
        <v>21300</v>
      </c>
      <c r="F8" s="17" t="n">
        <f aca="false">B8*D8</f>
        <v>20700</v>
      </c>
      <c r="G8" s="17" t="n">
        <f aca="false">F8-E8</f>
        <v>-600</v>
      </c>
      <c r="H8" s="18" t="n">
        <f aca="false">IFERROR(G8/E8,0)</f>
        <v>-0.028169014084507</v>
      </c>
    </row>
    <row r="9" customFormat="false" ht="15" hidden="false" customHeight="false" outlineLevel="0" collapsed="false">
      <c r="A9" s="14" t="s">
        <v>32</v>
      </c>
      <c r="B9" s="15" t="n">
        <v>30</v>
      </c>
      <c r="C9" s="16" t="n">
        <v>55</v>
      </c>
      <c r="D9" s="16" t="n">
        <v>62</v>
      </c>
      <c r="E9" s="17" t="n">
        <f aca="false">B9*C9</f>
        <v>1650</v>
      </c>
      <c r="F9" s="17" t="n">
        <f aca="false">B9*D9</f>
        <v>1860</v>
      </c>
      <c r="G9" s="17" t="n">
        <f aca="false">F9-E9</f>
        <v>210</v>
      </c>
      <c r="H9" s="18" t="n">
        <f aca="false">IFERROR(G9/E9,0)</f>
        <v>0.127272727272727</v>
      </c>
    </row>
    <row r="10" customFormat="false" ht="15" hidden="false" customHeight="false" outlineLevel="0" collapsed="false">
      <c r="A10" s="8" t="s">
        <v>33</v>
      </c>
      <c r="E10" s="9" t="n">
        <f aca="false">SUM(E6:E9)</f>
        <v>143950</v>
      </c>
      <c r="F10" s="9" t="n">
        <f aca="false">SUM(F6:F9)</f>
        <v>158860</v>
      </c>
      <c r="G10" s="9" t="n">
        <f aca="false">F10-E10</f>
        <v>14910</v>
      </c>
      <c r="H10" s="19" t="n">
        <f aca="false">IFERROR(G10/E10,0)</f>
        <v>0.103577631121917</v>
      </c>
    </row>
  </sheetData>
  <mergeCells count="3">
    <mergeCell ref="A1:H1"/>
    <mergeCell ref="A2:H2"/>
    <mergeCell ref="A3:H3"/>
  </mergeCells>
  <conditionalFormatting sqref="G6:G10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2026-08-28T09:42:59Z</dcterms:created>
  <dc:creator>openpyxl</dc:creator>
  <dc:description/>
  <dc:language>en-US</dc:language>
  <cp:lastModifiedBy/>
  <dcterms:modified xsi:type="dcterms:W3CDTF">2026-08-28T09:42:59Z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