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out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<sst xmlns="http://schemas.openxmlformats.org/spreadsheetml/2006/main" count="33" uniqueCount="30">
  <si>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Workout &amp; Fitness Tracker</t>
  </si>
  <si>
    <t xml:space="preserve">Log each session below. Weekly totals and averages update automatically.</t>
  </si>
  <si>
    <t xml:space="preserve">Legend:  Blue text + yellow fill = cells you edit.  Type is a dropdown. Calories is an estimate you enter, not calculated.</t>
  </si>
  <si>
    <t xml:space="preserve">Date</t>
  </si>
  <si>
    <t xml:space="preserve">Exercise</t>
  </si>
  <si>
    <t xml:space="preserve">Type</t>
  </si>
  <si>
    <t xml:space="preserve">Sets</t>
  </si>
  <si>
    <t xml:space="preserve">Reps</t>
  </si>
  <si>
    <t xml:space="preserve">Weight (kg)</t>
  </si>
  <si>
    <t xml:space="preserve">Duration (min)</t>
  </si>
  <si>
    <t xml:space="preserve">Calories Burned</t>
  </si>
  <si>
    <t xml:space="preserve">Bench Press</t>
  </si>
  <si>
    <t xml:space="preserve">Strength</t>
  </si>
  <si>
    <t xml:space="preserve">5K Run</t>
  </si>
  <si>
    <t xml:space="preserve">Cardio</t>
  </si>
  <si>
    <t xml:space="preserve">Squats</t>
  </si>
  <si>
    <t xml:space="preserve">Yoga</t>
  </si>
  <si>
    <t xml:space="preserve">Flexibility</t>
  </si>
  <si>
    <t xml:space="preserve">Deadlift</t>
  </si>
  <si>
    <t xml:space="preserve">Summary</t>
  </si>
  <si>
    <t xml:space="preserve">Total Workouts Logged</t>
  </si>
  <si>
    <t xml:space="preserve">Total Duration (min)</t>
  </si>
  <si>
    <t xml:space="preserve">Total Calories Burned</t>
  </si>
  <si>
    <t xml:space="preserve">Avg Calories / Session</t>
  </si>
  <si>
    <t xml:space="preserve">Strength Sessions</t>
  </si>
  <si>
    <t xml:space="preserve">Cardio Sessions</t>
  </si>
  <si>
    <t xml:space="preserve">BMI Calculator</t>
  </si>
  <si>
    <t xml:space="preserve">Height (cm)</t>
  </si>
  <si>
    <t xml:space="preserve">BMI</t>
  </si>
  <si>
    <t xml:space="preserve">Category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</si>
</sst>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9E1B1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9E1B1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FF"/>
      </patternFill>
    </fill>
    <fill>
      <patternFill patternType="solid">
        <fgColor rgb="FF9E1B1B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5C2C2"/>
        </patternFill>
      </fill>
    </dxf>
    <dxf>
      <fill>
        <patternFill>
          <bgColor rgb="FFFCE1A8"/>
        </patternFill>
      </fill>
    </dxf>
    <dxf>
      <fill>
        <patternFill>
          <bgColor rgb="FFC7E8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7E8CA"/>
      <rgbColor rgb="FFFCE1A8"/>
      <rgbColor rgb="FF99CCFF"/>
      <rgbColor rgb="FFFF99CC"/>
      <rgbColor rgb="FFCC99FF"/>
      <rgbColor rgb="FFF5C2C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E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n">
        <v>46258</v>
      </c>
      <c r="B6" s="6" t="s">
        <v>11</v>
      </c>
      <c r="C6" s="7" t="s">
        <v>12</v>
      </c>
      <c r="D6" s="7" t="n">
        <v>4</v>
      </c>
      <c r="E6" s="7" t="n">
        <v>8</v>
      </c>
      <c r="F6" s="7" t="n">
        <v>60</v>
      </c>
      <c r="G6" s="7" t="n">
        <v>35</v>
      </c>
      <c r="H6" s="7" t="n">
        <v>220</v>
      </c>
    </row>
    <row r="7" customFormat="false" ht="15" hidden="false" customHeight="false" outlineLevel="0" collapsed="false">
      <c r="A7" s="5" t="n">
        <v>46259</v>
      </c>
      <c r="B7" s="6" t="s">
        <v>13</v>
      </c>
      <c r="C7" s="7" t="s">
        <v>14</v>
      </c>
      <c r="D7" s="7" t="n">
        <v>1</v>
      </c>
      <c r="E7" s="7" t="n">
        <v>1</v>
      </c>
      <c r="F7" s="7" t="n">
        <v>0</v>
      </c>
      <c r="G7" s="7" t="n">
        <v>28</v>
      </c>
      <c r="H7" s="7" t="n">
        <v>310</v>
      </c>
    </row>
    <row r="8" customFormat="false" ht="15" hidden="false" customHeight="false" outlineLevel="0" collapsed="false">
      <c r="A8" s="5" t="n">
        <v>46260</v>
      </c>
      <c r="B8" s="6" t="s">
        <v>15</v>
      </c>
      <c r="C8" s="7" t="s">
        <v>12</v>
      </c>
      <c r="D8" s="7" t="n">
        <v>4</v>
      </c>
      <c r="E8" s="7" t="n">
        <v>10</v>
      </c>
      <c r="F8" s="7" t="n">
        <v>80</v>
      </c>
      <c r="G8" s="7" t="n">
        <v>40</v>
      </c>
      <c r="H8" s="7" t="n">
        <v>260</v>
      </c>
    </row>
    <row r="9" customFormat="false" ht="15" hidden="false" customHeight="false" outlineLevel="0" collapsed="false">
      <c r="A9" s="5" t="n">
        <v>46261</v>
      </c>
      <c r="B9" s="6" t="s">
        <v>16</v>
      </c>
      <c r="C9" s="7" t="s">
        <v>17</v>
      </c>
      <c r="D9" s="7" t="n">
        <v>1</v>
      </c>
      <c r="E9" s="7" t="n">
        <v>1</v>
      </c>
      <c r="F9" s="7" t="n">
        <v>0</v>
      </c>
      <c r="G9" s="7" t="n">
        <v>45</v>
      </c>
      <c r="H9" s="7" t="n">
        <v>150</v>
      </c>
    </row>
    <row r="10" customFormat="false" ht="15" hidden="false" customHeight="false" outlineLevel="0" collapsed="false">
      <c r="A10" s="5" t="n">
        <v>46262</v>
      </c>
      <c r="B10" s="6" t="s">
        <v>18</v>
      </c>
      <c r="C10" s="7" t="s">
        <v>12</v>
      </c>
      <c r="D10" s="7" t="n">
        <v>3</v>
      </c>
      <c r="E10" s="7" t="n">
        <v>6</v>
      </c>
      <c r="F10" s="7" t="n">
        <v>100</v>
      </c>
      <c r="G10" s="7" t="n">
        <v>30</v>
      </c>
      <c r="H10" s="7" t="n">
        <v>240</v>
      </c>
    </row>
    <row r="11" customFormat="false" ht="15" hidden="false" customHeight="false" outlineLevel="0" collapsed="false">
      <c r="A11" s="5"/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0" collapsed="false">
      <c r="A12" s="5"/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5"/>
      <c r="B13" s="7"/>
      <c r="C13" s="7"/>
      <c r="D13" s="7"/>
      <c r="E13" s="7"/>
      <c r="F13" s="7"/>
      <c r="G13" s="7"/>
      <c r="H13" s="7"/>
    </row>
    <row r="14" customFormat="false" ht="15" hidden="false" customHeight="false" outlineLevel="0" collapsed="false">
      <c r="A14" s="5"/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5"/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0" collapsed="false">
      <c r="A16" s="5"/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5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5"/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5"/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5"/>
      <c r="B20" s="7"/>
      <c r="C20" s="7"/>
      <c r="D20" s="7"/>
      <c r="E20" s="7"/>
      <c r="F20" s="7"/>
      <c r="G20" s="7"/>
      <c r="H20" s="7"/>
    </row>
    <row r="22" customFormat="false" ht="15" hidden="false" customHeight="false" outlineLevel="0" collapsed="false">
      <c r="A22" s="8" t="s">
        <v>19</v>
      </c>
    </row>
    <row r="23" customFormat="false" ht="15" hidden="false" customHeight="false" outlineLevel="0" collapsed="false">
      <c r="A23" s="9" t="s">
        <v>20</v>
      </c>
      <c r="B23" s="10" t="n">
        <f aca="false">COUNTA(A6:A20)</f>
        <v>5</v>
      </c>
    </row>
    <row r="24" customFormat="false" ht="15" hidden="false" customHeight="false" outlineLevel="0" collapsed="false">
      <c r="A24" s="9" t="s">
        <v>21</v>
      </c>
      <c r="B24" s="10" t="n">
        <f aca="false">SUM(G6:G20)</f>
        <v>178</v>
      </c>
    </row>
    <row r="25" customFormat="false" ht="15" hidden="false" customHeight="false" outlineLevel="0" collapsed="false">
      <c r="A25" s="9" t="s">
        <v>22</v>
      </c>
      <c r="B25" s="10" t="n">
        <f aca="false">SUM(H6:H20)</f>
        <v>1180</v>
      </c>
    </row>
    <row r="26" customFormat="false" ht="15" hidden="false" customHeight="false" outlineLevel="0" collapsed="false">
      <c r="A26" s="9" t="s">
        <v>23</v>
      </c>
      <c r="B26" s="10" t="n">
        <f aca="false">IFERROR(B25/B23,0)</f>
        <v>236</v>
      </c>
    </row>
    <row r="27" customFormat="false" ht="15" hidden="false" customHeight="false" outlineLevel="0" collapsed="false">
      <c r="A27" s="9" t="s">
        <v>24</v>
      </c>
      <c r="B27" s="10" t="n">
        <f aca="false">COUNTIF(C6:C20,"Strength")</f>
        <v>3</v>
      </c>
    </row>
    <row r="28" customFormat="false" ht="15" hidden="false" customHeight="false" outlineLevel="0" collapsed="false">
      <c r="A28" s="9" t="s">
        <v>25</v>
      </c>
      <c r="B28" s="10" t="n">
        <f aca="false">COUNTIF(C6:C20,"Cardio")</f>
        <v>1</v>
      </c>
    </row>
    <row r="30" customFormat="false" ht="15" hidden="false" customHeight="false" outlineLevel="0" collapsed="false">
      <c r="A30" s="8" t="s">
        <v>26</v>
      </c>
    </row>
    <row r="31" customFormat="false" ht="15" hidden="false" customHeight="false" outlineLevel="0" collapsed="false">
      <c r="A31" s="9" t="s">
        <v>8</v>
      </c>
      <c r="B31" s="7" t="n">
        <v>70</v>
      </c>
    </row>
    <row r="32" customFormat="false" ht="15" hidden="false" customHeight="false" outlineLevel="0" collapsed="false">
      <c r="A32" s="9" t="s">
        <v>27</v>
      </c>
      <c r="B32" s="7" t="n">
        <v>175</v>
      </c>
    </row>
    <row r="33" customFormat="false" ht="15" hidden="false" customHeight="false" outlineLevel="0" collapsed="false">
      <c r="A33" s="9" t="s">
        <v>28</v>
      </c>
      <c r="B33" s="11" t="n">
        <f aca="false">B31/((B32/100)^2)</f>
        <v>22.8571428571429</v>
      </c>
    </row>
    <row r="34" customFormat="false" ht="15" hidden="false" customHeight="false" outlineLevel="0" collapsed="false">
      <c r="A34" s="9" t="s">
        <v>29</v>
      </c>
      <c r="B34" s="12" t="str">
        <f aca="false">IF(B33&lt;18.5,"Underweight",IF(B33&lt;25,"Normal",IF(B33&lt;30,"Overweight","Obese")))</f>
        <v>Normal</v>
      </c>
    </row>
  </sheetData>
  <mergeCells count="3">
    <mergeCell ref="A1:H1"/>
    <mergeCell ref="A2:H2"/>
    <mergeCell ref="A3:H3"/>
  </mergeCells>
  <conditionalFormatting sqref="C6:C20">
    <cfRule type="expression" priority="2" aboveAverage="0" equalAverage="0" bottom="0" percent="0" rank="0" text="" dxfId="0">
      <formula>C6="Strength"</formula>
    </cfRule>
    <cfRule type="expression" priority="3" aboveAverage="0" equalAverage="0" bottom="0" percent="0" rank="0" text="" dxfId="1">
      <formula>C6="Cardio"</formula>
    </cfRule>
    <cfRule type="expression" priority="4" aboveAverage="0" equalAverage="0" bottom="0" percent="0" rank="0" text="" dxfId="2">
      <formula>C6="Flexibility"</formula>
    </cfRule>
  </conditionalFormatting>
  <dataValidations count="1">
    <dataValidation allowBlank="true" errorStyle="stop" operator="between" showDropDown="false" showErrorMessage="false" showInputMessage="false" sqref="C6:C20" type="list">
      <formula1>"Strength,Cardio,Flexibility,Sports,Other"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2026-08-28T09:38:25Z</dcterms:created>
  <dc:creator>openpyxl</dc:creator>
  <dc:description/>
  <dc:language>en-US</dc:language>
  <cp:lastModifiedBy/>
  <dcterms:modified xsi:type="dcterms:W3CDTF">2026-08-28T09:38:25Z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